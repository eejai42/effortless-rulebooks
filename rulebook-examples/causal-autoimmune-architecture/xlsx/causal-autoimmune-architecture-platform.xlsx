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vmlDrawing" PartName="/xl/drawings/vmlDrawing1.vml"/>
  <Override ContentType="application/vnd.openxmlformats-officedocument.spreadsheetml.worksheet+xml" PartName="/xl/worksheets/sheet2.xml"/>
  <Override ContentType="application/vnd.openxmlformats-officedocument.vmlDrawing" PartName="/xl/drawings/vmlDrawing2.vml"/>
  <Override ContentType="application/vnd.openxmlformats-officedocument.spreadsheetml.worksheet+xml" PartName="/xl/worksheets/sheet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vmlDrawing" PartName="/xl/drawings/vmlDrawing5.vml"/>
  <Override ContentType="application/vnd.openxmlformats-officedocument.spreadsheetml.worksheet+xml" PartName="/xl/worksheets/sheet6.xml"/>
  <Override ContentType="application/vnd.openxmlformats-officedocument.vmlDrawing" PartName="/xl/drawings/vmlDrawing6.vml"/>
  <Override ContentType="application/vnd.openxmlformats-officedocument.spreadsheetml.worksheet+xml" PartName="/xl/worksheets/sheet7.xml"/>
  <Override ContentType="application/vnd.openxmlformats-officedocument.vmlDrawing" PartName="/xl/drawings/vmlDrawing7.vml"/>
  <Override ContentType="application/vnd.openxmlformats-officedocument.spreadsheetml.worksheet+xml" PartName="/xl/worksheets/sheet8.xml"/>
  <Override ContentType="application/vnd.openxmlformats-officedocument.vmlDrawing" PartName="/xl/drawings/vmlDrawing8.vml"/>
  <Override ContentType="application/vnd.openxmlformats-officedocument.spreadsheetml.worksheet+xml" PartName="/xl/worksheets/sheet9.xml"/>
  <Override ContentType="application/vnd.openxmlformats-officedocument.vmlDrawing" PartName="/xl/drawings/vmlDrawing9.vml"/>
  <Override ContentType="application/vnd.openxmlformats-officedocument.spreadsheetml.worksheet+xml" PartName="/xl/worksheets/sheet10.xml"/>
  <Override ContentType="application/vnd.openxmlformats-officedocument.vmlDrawing" PartName="/xl/drawings/vmlDrawing10.vml"/>
  <Override ContentType="application/vnd.openxmlformats-officedocument.spreadsheetml.worksheet+xml" PartName="/xl/worksheets/sheet11.xml"/>
  <Override ContentType="application/vnd.openxmlformats-officedocument.vmlDrawing" PartName="/xl/drawings/vmlDrawing11.vml"/>
  <Override ContentType="application/vnd.openxmlformats-officedocument.spreadsheetml.worksheet+xml" PartName="/xl/worksheets/sheet12.xml"/>
  <Override ContentType="application/vnd.openxmlformats-officedocument.vmlDrawing" PartName="/xl/drawings/vmlDrawing12.vml"/>
  <Override ContentType="application/vnd.openxmlformats-officedocument.spreadsheetml.worksheet+xml" PartName="/xl/worksheets/sheet13.xml"/>
  <Override ContentType="application/vnd.openxmlformats-officedocument.vmlDrawing" PartName="/xl/drawings/vmlDrawing13.vml"/>
  <Override ContentType="application/vnd.openxmlformats-officedocument.spreadsheetml.worksheet+xml" PartName="/xl/worksheets/sheet14.xml"/>
  <Override ContentType="application/vnd.openxmlformats-officedocument.vmlDrawing" PartName="/xl/drawings/vmlDrawing14.vml"/>
  <Override ContentType="application/vnd.openxmlformats-officedocument.spreadsheetml.worksheet+xml" PartName="/xl/worksheets/sheet15.xml"/>
  <Override ContentType="application/vnd.openxmlformats-officedocument.vmlDrawing" PartName="/xl/drawings/vmlDrawing15.vml"/>
  <Override ContentType="application/vnd.openxmlformats-officedocument.spreadsheetml.worksheet+xml" PartName="/xl/worksheets/sheet16.xml"/>
  <Override ContentType="application/vnd.openxmlformats-officedocument.vmlDrawing" PartName="/xl/drawings/vmlDrawing16.vml"/>
  <Override ContentType="application/vnd.openxmlformats-officedocument.spreadsheetml.worksheet+xml" PartName="/xl/worksheets/sheet17.xml"/>
  <Override ContentType="application/vnd.openxmlformats-officedocument.vmlDrawing" PartName="/xl/drawings/vmlDrawing17.vml"/>
  <Override ContentType="application/vnd.openxmlformats-officedocument.spreadsheetml.worksheet+xml" PartName="/xl/worksheets/sheet18.xml"/>
  <Override ContentType="application/vnd.openxmlformats-officedocument.vmlDrawing" PartName="/xl/drawings/vmlDrawing18.vml"/>
  <Override ContentType="application/vnd.openxmlformats-officedocument.spreadsheetml.worksheet+xml" PartName="/xl/worksheets/sheet19.xml"/>
  <Override ContentType="application/vnd.openxmlformats-officedocument.vmlDrawing" PartName="/xl/drawings/vmlDrawing19.vml"/>
  <Override ContentType="application/vnd.openxmlformats-officedocument.spreadsheetml.worksheet+xml" PartName="/xl/worksheets/sheet20.xml"/>
  <Override ContentType="application/vnd.openxmlformats-officedocument.vmlDrawing" PartName="/xl/drawings/vmlDrawing20.vml"/>
  <Override ContentType="application/vnd.openxmlformats-officedocument.spreadsheetml.worksheet+xml" PartName="/xl/worksheets/sheet21.xml"/>
  <Override ContentType="application/vnd.openxmlformats-officedocument.vmlDrawing" PartName="/xl/drawings/vmlDrawing21.vml"/>
  <Override ContentType="application/vnd.openxmlformats-officedocument.spreadsheetml.worksheet+xml" PartName="/xl/worksheets/sheet22.xml"/>
  <Override ContentType="application/vnd.openxmlformats-officedocument.vmlDrawing" PartName="/xl/drawings/vmlDrawing22.vml"/>
  <Override ContentType="application/vnd.openxmlformats-officedocument.spreadsheetml.worksheet+xml" PartName="/xl/worksheets/sheet23.xml"/>
  <Override ContentType="application/vnd.openxmlformats-officedocument.vmlDrawing" PartName="/xl/drawings/vmlDrawing23.vml"/>
  <Override ContentType="application/vnd.openxmlformats-officedocument.spreadsheetml.worksheet+xml" PartName="/xl/worksheets/sheet24.xml"/>
  <Override ContentType="application/vnd.openxmlformats-officedocument.vmlDrawing" PartName="/xl/drawings/vmlDrawing24.vml"/>
  <Override ContentType="application/vnd.openxmlformats-officedocument.spreadsheetml.worksheet+xml" PartName="/xl/worksheets/sheet25.xml"/>
  <Override ContentType="application/vnd.openxmlformats-officedocument.vmlDrawing" PartName="/xl/drawings/vmlDrawing25.vml"/>
  <Override ContentType="application/vnd.openxmlformats-officedocument.spreadsheetml.worksheet+xml" PartName="/xl/worksheets/sheet26.xml"/>
  <Override ContentType="application/vnd.openxmlformats-officedocument.vmlDrawing" PartName="/xl/drawings/vmlDrawing26.vml"/>
  <Override ContentType="application/vnd.openxmlformats-officedocument.spreadsheetml.worksheet+xml" PartName="/xl/worksheets/sheet27.xml"/>
  <Override ContentType="application/vnd.openxmlformats-officedocument.vmlDrawing" PartName="/xl/drawings/vmlDrawing27.vml"/>
  <Override ContentType="application/vnd.openxmlformats-officedocument.spreadsheetml.worksheet+xml" PartName="/xl/worksheets/sheet28.xml"/>
  <Override ContentType="application/vnd.openxmlformats-officedocument.vmlDrawing" PartName="/xl/drawings/vmlDrawing28.vml"/>
  <Override ContentType="application/vnd.openxmlformats-officedocument.spreadsheetml.worksheet+xml" PartName="/xl/worksheets/sheet29.xml"/>
  <Override ContentType="application/vnd.openxmlformats-officedocument.vmlDrawing" PartName="/xl/drawings/vmlDrawing29.vml"/>
  <Override ContentType="application/vnd.openxmlformats-officedocument.spreadsheetml.worksheet+xml" PartName="/xl/worksheets/sheet30.xml"/>
  <Override ContentType="application/vnd.openxmlformats-officedocument.vmlDrawing" PartName="/xl/drawings/vmlDrawing30.vml"/>
  <Override ContentType="application/vnd.openxmlformats-officedocument.spreadsheetml.worksheet+xml" PartName="/xl/worksheets/sheet31.xml"/>
  <Override ContentType="application/vnd.openxmlformats-officedocument.vmlDrawing" PartName="/xl/drawings/vmlDrawing31.vml"/>
  <Override ContentType="application/vnd.openxmlformats-officedocument.spreadsheetml.worksheet+xml" PartName="/xl/worksheets/sheet32.xml"/>
  <Override ContentType="application/vnd.openxmlformats-officedocument.vmlDrawing" PartName="/xl/drawings/vmlDrawing32.vml"/>
  <Override ContentType="application/vnd.openxmlformats-officedocument.spreadsheetml.worksheet+xml" PartName="/xl/worksheets/sheet33.xml"/>
  <Override ContentType="application/vnd.openxmlformats-officedocument.vmlDrawing" PartName="/xl/drawings/vmlDrawing33.vml"/>
  <Override ContentType="application/vnd.openxmlformats-officedocument.spreadsheetml.worksheet+xml" PartName="/xl/worksheets/sheet34.xml"/>
  <Override ContentType="application/vnd.openxmlformats-officedocument.vmlDrawing" PartName="/xl/drawings/vmlDrawing34.vml"/>
  <Override ContentType="application/vnd.openxmlformats-officedocument.spreadsheetml.worksheet+xml" PartName="/xl/worksheets/sheet35.xml"/>
  <Override ContentType="application/vnd.openxmlformats-officedocument.vmlDrawing" PartName="/xl/drawings/vmlDrawing35.vml"/>
  <Override ContentType="application/vnd.openxmlformats-officedocument.spreadsheetml.worksheet+xml" PartName="/xl/worksheets/sheet36.xml"/>
  <Override ContentType="application/vnd.openxmlformats-officedocument.vmlDrawing" PartName="/xl/drawings/vmlDrawing36.vml"/>
  <Override ContentType="application/vnd.openxmlformats-officedocument.spreadsheetml.worksheet+xml" PartName="/xl/worksheets/sheet37.xml"/>
  <Override ContentType="application/vnd.openxmlformats-officedocument.vmlDrawing" PartName="/xl/drawings/vmlDrawing37.vml"/>
  <Override ContentType="application/vnd.openxmlformats-officedocument.spreadsheetml.worksheet+xml" PartName="/xl/worksheets/sheet38.xml"/>
  <Override ContentType="application/vnd.openxmlformats-officedocument.vmlDrawing" PartName="/xl/drawings/vmlDrawing38.vml"/>
  <Override ContentType="application/vnd.openxmlformats-officedocument.spreadsheetml.worksheet+xml" PartName="/xl/worksheets/sheet39.xml"/>
  <Override ContentType="application/vnd.openxmlformats-officedocument.vmlDrawing" PartName="/xl/drawings/vmlDrawing39.vml"/>
  <Override ContentType="application/vnd.openxmlformats-officedocument.spreadsheetml.worksheet+xml" PartName="/xl/worksheets/sheet40.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AutoimmuneDiseases" sheetId="1" r:id="rId1"/>
    <sheet name="DiseaseStages" sheetId="2" r:id="rId3"/>
    <sheet name="Tissues" sheetId="3" r:id="rId4"/>
    <sheet name="OmicsModalities" sheetId="4" r:id="rId5"/>
    <sheet name="FederatedDatasets" sheetId="5" r:id="rId6"/>
    <sheet name="VariantTypes" sheetId="6" r:id="rId7"/>
    <sheet name="Individuals" sheetId="7" r:id="rId8"/>
    <sheet name="GenomicVariants" sheetId="8" r:id="rId9"/>
    <sheet name="OmicsAssays" sheetId="9" r:id="rId10"/>
    <sheet name="EvidenceItems" sheetId="10" r:id="rId11"/>
    <sheet name="CohortReplications" sheetId="11" r:id="rId12"/>
    <sheet name="NegativeControlTests" sheetId="12" r:id="rId13"/>
    <sheet name="EnvironmentalExposures" sheetId="13" r:id="rId14"/>
    <sheet name="Treatments" sheetId="14" r:id="rId15"/>
    <sheet name="ClinicalPhenotypes" sheetId="15" r:id="rId16"/>
    <sheet name="CausalMechanisms" sheetId="16" r:id="rId17"/>
    <sheet name="EpistaticInteractions" sheetId="17" r:id="rId18"/>
    <sheet name="CounterfactualTrajectories" sheetId="18" r:id="rId19"/>
    <sheet name="IndividualPredictions" sheetId="19" r:id="rId20"/>
    <sheet name="CalibrationBins" sheetId="20" r:id="rId21"/>
    <sheet name="InterventionTargets" sheetId="21" r:id="rId22"/>
    <sheet name="Axioms" sheetId="22" r:id="rId23"/>
    <sheet name="TestsForSuccess" sheetId="23" r:id="rId24"/>
    <sheet name="Features" sheetId="24" r:id="rId25"/>
    <sheet name="InferenceKinds" sheetId="25" r:id="rId26"/>
    <sheet name="OpenQuestions" sheetId="26" r:id="rId27"/>
    <sheet name="NonGoals" sheetId="27" r:id="rId28"/>
    <sheet name="GlossaryTerms" sheetId="28" r:id="rId29"/>
    <sheet name="EffortlessLoops" sheetId="29" r:id="rId30"/>
    <sheet name="RoutingAndNavigation" sheetId="30" r:id="rId31"/>
    <sheet name="StateMachines" sheetId="31" r:id="rId32"/>
    <sheet name="MachineStates" sheetId="32" r:id="rId33"/>
    <sheet name="StateTransitionRules" sheetId="33" r:id="rId34"/>
    <sheet name="StateTransitions" sheetId="34" r:id="rId35"/>
    <sheet name="SubjectStateInstances" sheetId="35" r:id="rId36"/>
    <sheet name="__meta__" sheetId="36" r:id="rId37"/>
    <sheet name="DiseaseDomainConcepts" sheetId="37" r:id="rId38"/>
    <sheet name="SerologyObservations" sheetId="38" r:id="rId39"/>
    <sheet name="TherapyOptions" sheetId="39" r:id="rId40"/>
    <sheet name="_original_json" sheetId="40" r:id="rId41" state="hidden"/>
  </sheets>
  <definedNames>
    <definedName name="_xlnm._FilterDatabase" localSheetId="35" hidden="1">__meta__!$A$1:$H$1</definedName>
    <definedName name="_xlnm._FilterDatabase" localSheetId="0" hidden="1">AutoimmuneDiseases!$A$1:$M$1</definedName>
    <definedName name="_xlnm._FilterDatabase" localSheetId="21" hidden="1">Axioms!$A$1:$F$1</definedName>
    <definedName name="_xlnm._FilterDatabase" localSheetId="19" hidden="1">CalibrationBins!$A$1:$L$1</definedName>
    <definedName name="_xlnm._FilterDatabase" localSheetId="15" hidden="1">CausalMechanisms!$A$1:$AH$1</definedName>
    <definedName name="_xlnm._FilterDatabase" localSheetId="14" hidden="1">ClinicalPhenotypes!$A$1:$O$1</definedName>
    <definedName name="_xlnm._FilterDatabase" localSheetId="10" hidden="1">CohortReplications!$A$1:$O$1</definedName>
    <definedName name="_xlnm._FilterDatabase" localSheetId="17" hidden="1">CounterfactualTrajectories!$A$1:$L$1</definedName>
    <definedName name="_xlnm._FilterDatabase" localSheetId="36" hidden="1">DiseaseDomainConcepts!$A$1:$J$1</definedName>
    <definedName name="_xlnm._FilterDatabase" localSheetId="1" hidden="1">DiseaseStages!$A$1:$I$1</definedName>
    <definedName name="_xlnm._FilterDatabase" localSheetId="28" hidden="1">EffortlessLoops!$A$1:$N$1</definedName>
    <definedName name="_xlnm._FilterDatabase" localSheetId="12" hidden="1">EnvironmentalExposures!$A$1:$K$1</definedName>
    <definedName name="_xlnm._FilterDatabase" localSheetId="16" hidden="1">EpistaticInteractions!$A$1:$K$1</definedName>
    <definedName name="_xlnm._FilterDatabase" localSheetId="9" hidden="1">EvidenceItems!$A$1:$U$1</definedName>
    <definedName name="_xlnm._FilterDatabase" localSheetId="23" hidden="1">Features!$A$1:$M$1</definedName>
    <definedName name="_xlnm._FilterDatabase" localSheetId="4" hidden="1">FederatedDatasets!$A$1:$J$1</definedName>
    <definedName name="_xlnm._FilterDatabase" localSheetId="7" hidden="1">GenomicVariants!$A$1:$O$1</definedName>
    <definedName name="_xlnm._FilterDatabase" localSheetId="27" hidden="1">GlossaryTerms!$A$1:$E$1</definedName>
    <definedName name="_xlnm._FilterDatabase" localSheetId="18" hidden="1">IndividualPredictions!$A$1:$AV$1</definedName>
    <definedName name="_xlnm._FilterDatabase" localSheetId="6" hidden="1">Individuals!$A$1:$AZ$1</definedName>
    <definedName name="_xlnm._FilterDatabase" localSheetId="24" hidden="1">InferenceKinds!$A$1:$I$1</definedName>
    <definedName name="_xlnm._FilterDatabase" localSheetId="20" hidden="1">InterventionTargets!$A$1:$L$1</definedName>
    <definedName name="_xlnm._FilterDatabase" localSheetId="31" hidden="1">MachineStates!$A$1:$Q$1</definedName>
    <definedName name="_xlnm._FilterDatabase" localSheetId="11" hidden="1">NegativeControlTests!$A$1:$K$1</definedName>
    <definedName name="_xlnm._FilterDatabase" localSheetId="26" hidden="1">NonGoals!$A$1:$E$1</definedName>
    <definedName name="_xlnm._FilterDatabase" localSheetId="8" hidden="1">OmicsAssays!$A$1:$Q$1</definedName>
    <definedName name="_xlnm._FilterDatabase" localSheetId="3" hidden="1">OmicsModalities!$A$1:$G$1</definedName>
    <definedName name="_xlnm._FilterDatabase" localSheetId="25" hidden="1">OpenQuestions!$A$1:$G$1</definedName>
    <definedName name="_xlnm._FilterDatabase" localSheetId="29" hidden="1">RoutingAndNavigation!$A$1:$AR$1</definedName>
    <definedName name="_xlnm._FilterDatabase" localSheetId="37" hidden="1">SerologyObservations!$A$1:$Z$1</definedName>
    <definedName name="_xlnm._FilterDatabase" localSheetId="30" hidden="1">StateMachines!$A$1:$Q$1</definedName>
    <definedName name="_xlnm._FilterDatabase" localSheetId="32" hidden="1">StateTransitionRules!$A$1:$S$1</definedName>
    <definedName name="_xlnm._FilterDatabase" localSheetId="33" hidden="1">StateTransitions!$A$1:$Q$1</definedName>
    <definedName name="_xlnm._FilterDatabase" localSheetId="34" hidden="1">SubjectStateInstances!$A$1:$U$1</definedName>
    <definedName name="_xlnm._FilterDatabase" localSheetId="22" hidden="1">TestsForSuccess!$A$1:$G$1</definedName>
    <definedName name="_xlnm._FilterDatabase" localSheetId="38" hidden="1">TherapyOptions!$A$1:$G$1</definedName>
    <definedName name="_xlnm._FilterDatabase" localSheetId="2" hidden="1">Tissues!$A$1:$F$1</definedName>
    <definedName name="_xlnm._FilterDatabase" localSheetId="13" hidden="1">Treatments!$A$1:$Q$1</definedName>
    <definedName name="_xlnm._FilterDatabase" localSheetId="5" hidden="1">VariantTypes!$A$1:$G$1</definedName>
  </definedNames>
  <calcPr fullCalcOnLoad="1" fullPrecision="1"/>
</workbook>
</file>

<file path=xl/comments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autoimmune disease (e.g. sle, ra, t1d).</t>
        </r>
      </text>
    </comment>
    <comment ref="C1" authorId="0">
      <text>
        <r>
          <rPr>
            <rFont val="Aptos Narrow"/>
            <b/>
            <color rgb="FFFFFFFF"/>
            <sz val="11"/>
          </rPr>
          <t>True when the disease is a multifactorial complex disease beyond simple monogenic traits.</t>
        </r>
      </text>
    </comment>
    <comment ref="D1" authorId="0">
      <text>
        <r>
          <rPr>
            <rFont val="Aptos Narrow"/>
            <b/>
            <color rgb="FFFFFFFF"/>
            <sz val="11"/>
          </rPr>
          <t>Display label for the autoimmune disease.</t>
        </r>
      </text>
    </comment>
    <comment ref="E1" authorId="0">
      <text>
        <r>
          <rPr>
            <rFont val="Aptos Narrow"/>
            <b/>
            <color rgb="FFFFFFFF"/>
            <sz val="11"/>
          </rPr>
          <t>Canonical path to this AutoimmuneDisease page: /diseases/&lt;slug-or-id&gt;.</t>
        </r>
      </text>
    </comment>
    <comment ref="F1" authorId="0">
      <text>
        <r>
          <rPr>
            <rFont val="Aptos Narrow"/>
            <b/>
            <color rgb="FFFFFFFF"/>
            <sz val="11"/>
          </rPr>
          <t>Number of disease stages defined for this autoimmune disease.</t>
        </r>
      </text>
    </comment>
    <comment ref="G1" authorId="0">
      <text>
        <r>
          <rPr>
            <rFont val="Aptos Narrow"/>
            <b/>
            <color rgb="FFFFFFFF"/>
            <sz val="11"/>
          </rPr>
          <t>Count of validated intervention targets linked to this disease.</t>
        </r>
      </text>
    </comment>
    <comment ref="H1" authorId="0">
      <text>
        <r>
          <rPr>
            <rFont val="Aptos Narrow"/>
            <b/>
            <color rgb="FFFFFFFF"/>
            <sz val="11"/>
          </rPr>
          <t>Disease stages for this autoimmune disease.</t>
        </r>
      </text>
    </comment>
    <comment ref="I1" authorId="0">
      <text>
        <r>
          <rPr>
            <rFont val="Aptos Narrow"/>
            <b/>
            <color rgb="FFFFFFFF"/>
            <sz val="11"/>
          </rPr>
          <t>Treatment histories for this disease.</t>
        </r>
      </text>
    </comment>
    <comment ref="J1" authorId="0">
      <text>
        <r>
          <rPr>
            <rFont val="Aptos Narrow"/>
            <b/>
            <color rgb="FFFFFFFF"/>
            <sz val="11"/>
          </rPr>
          <t>Clinical phenotypes observed for this disease.</t>
        </r>
      </text>
    </comment>
    <comment ref="K1" authorId="0">
      <text>
        <r>
          <rPr>
            <rFont val="Aptos Narrow"/>
            <b/>
            <color rgb="FFFFFFFF"/>
            <sz val="11"/>
          </rPr>
          <t>Predictions of disease onset, severity, and treatment response.</t>
        </r>
      </text>
    </comment>
    <comment ref="L1" authorId="0">
      <text>
        <r>
          <rPr>
            <rFont val="Aptos Narrow"/>
            <b/>
            <color rgb="FFFFFFFF"/>
            <sz val="11"/>
          </rPr>
          <t>Counterfactual disease trajectories for this disease.</t>
        </r>
      </text>
    </comment>
    <comment ref="M1" authorId="0">
      <text>
        <r>
          <rPr>
            <rFont val="Aptos Narrow"/>
            <b/>
            <color rgb="FFFFFFFF"/>
            <sz val="11"/>
          </rPr>
          <t>Experimentally falsifiable intervention targets.</t>
        </r>
      </text>
    </comment>
    <comment ref="B1" authorId="0">
      <text>
        <r>
          <rPr>
            <rFont val="Aptos Narrow"/>
            <b/>
            <color rgb="FFFFFFFF"/>
            <sz val="11"/>
          </rPr>
          <t>Human-readable disease name.</t>
        </r>
      </text>
    </comment>
  </commentList>
</comments>
</file>

<file path=xl/comments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disease stage.</t>
        </r>
      </text>
    </comment>
    <comment ref="C1" authorId="0">
      <text>
        <r>
          <rPr>
            <rFont val="Aptos Narrow"/>
            <b/>
            <color rgb="FFFFFFFF"/>
            <sz val="11"/>
          </rPr>
          <t>Numeric ordering of stages along disease progression.</t>
        </r>
      </text>
    </comment>
    <comment ref="D1" authorId="0">
      <text>
        <r>
          <rPr>
            <rFont val="Aptos Narrow"/>
            <b/>
            <color rgb="FFFFFFFF"/>
            <sz val="11"/>
          </rPr>
          <t>Parent autoimmune disease.</t>
        </r>
      </text>
    </comment>
    <comment ref="E1" authorId="0">
      <text>
        <r>
          <rPr>
            <rFont val="Aptos Narrow"/>
            <b/>
            <color rgb="FFFFFFFF"/>
            <sz val="11"/>
          </rPr>
          <t>Display label combining disease and stage.</t>
        </r>
      </text>
    </comment>
    <comment ref="F1" authorId="0">
      <text>
        <r>
          <rPr>
            <rFont val="Aptos Narrow"/>
            <b/>
            <color rgb="FFFFFFFF"/>
            <sz val="11"/>
          </rPr>
          <t>Lookup: AutoimmuneDiseases.RelativePath via AutoimmuneDisease — used to chain this entity's path under its parent.</t>
        </r>
      </text>
    </comment>
    <comment ref="G1" authorId="0">
      <text>
        <r>
          <rPr>
            <rFont val="Aptos Narrow"/>
            <b/>
            <color rgb="FFFFFFFF"/>
            <sz val="11"/>
          </rPr>
          <t>Path to this DiseaseStage page, chained under its AutoimmuneDisease parent.</t>
        </r>
      </text>
    </comment>
    <comment ref="H1" authorId="0">
      <text>
        <r>
          <rPr>
            <rFont val="Aptos Narrow"/>
            <b/>
            <color rgb="FFFFFFFF"/>
            <sz val="11"/>
          </rPr>
          <t>Lookup of parent disease label.</t>
        </r>
      </text>
    </comment>
    <comment ref="I1" authorId="0">
      <text>
        <r>
          <rPr>
            <rFont val="Aptos Narrow"/>
            <b/>
            <color rgb="FFFFFFFF"/>
            <sz val="11"/>
          </rPr>
          <t>True when stage is presymptomatic diagnosis window.</t>
        </r>
      </text>
    </comment>
    <comment ref="B1" authorId="0">
      <text>
        <r>
          <rPr>
            <rFont val="Aptos Narrow"/>
            <b/>
            <color rgb="FFFFFFFF"/>
            <sz val="11"/>
          </rPr>
          <t>Human-readable stage label (e.g. presymptomatic, active).</t>
        </r>
      </text>
    </comment>
  </commentList>
</comments>
</file>

<file path=xl/comments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tissue type.</t>
        </r>
      </text>
    </comment>
    <comment ref="C1" authorId="0">
      <text>
        <r>
          <rPr>
            <rFont val="Aptos Narrow"/>
            <b/>
            <color rgb="FFFFFFFF"/>
            <sz val="11"/>
          </rPr>
          <t>Display label for the tissue.</t>
        </r>
      </text>
    </comment>
    <comment ref="D1" authorId="0">
      <text>
        <r>
          <rPr>
            <rFont val="Aptos Narrow"/>
            <b/>
            <color rgb="FFFFFFFF"/>
            <sz val="11"/>
          </rPr>
          <t>Canonical path to this Tissue page: /tissues/&lt;slug-or-id&gt;.</t>
        </r>
      </text>
    </comment>
    <comment ref="E1" authorId="0">
      <text>
        <r>
          <rPr>
            <rFont val="Aptos Narrow"/>
            <b/>
            <color rgb="FFFFFFFF"/>
            <sz val="11"/>
          </rPr>
          <t>Number of omics assays performed on this tissue.</t>
        </r>
      </text>
    </comment>
    <comment ref="F1" authorId="0">
      <text>
        <r>
          <rPr>
            <rFont val="Aptos Narrow"/>
            <b/>
            <color rgb="FFFFFFFF"/>
            <sz val="11"/>
          </rPr>
          <t>Omics assays performed on this tissue.</t>
        </r>
      </text>
    </comment>
    <comment ref="B1" authorId="0">
      <text>
        <r>
          <rPr>
            <rFont val="Aptos Narrow"/>
            <b/>
            <color rgb="FFFFFFFF"/>
            <sz val="11"/>
          </rPr>
          <t>Human-readable tissue name (blood, gut, synovium, skin, brain).</t>
        </r>
      </text>
    </comment>
  </commentList>
</comments>
</file>

<file path=xl/comments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omics modality.</t>
        </r>
      </text>
    </comment>
    <comment ref="C1" authorId="0">
      <text>
        <r>
          <rPr>
            <rFont val="Aptos Narrow"/>
            <b/>
            <color rgb="FFFFFFFF"/>
            <sz val="11"/>
          </rPr>
          <t>True for single-cell or spatial assays resolving cellular states.</t>
        </r>
      </text>
    </comment>
    <comment ref="D1" authorId="0">
      <text>
        <r>
          <rPr>
            <rFont val="Aptos Narrow"/>
            <b/>
            <color rgb="FFFFFFFF"/>
            <sz val="11"/>
          </rPr>
          <t>Display label for the omics modality.</t>
        </r>
      </text>
    </comment>
    <comment ref="E1" authorId="0">
      <text>
        <r>
          <rPr>
            <rFont val="Aptos Narrow"/>
            <b/>
            <color rgb="FFFFFFFF"/>
            <sz val="11"/>
          </rPr>
          <t>Canonical path to this OmicsModalitie page: /omics-modalities/&lt;slug-or-id&gt;.</t>
        </r>
      </text>
    </comment>
    <comment ref="F1" authorId="0">
      <text>
        <r>
          <rPr>
            <rFont val="Aptos Narrow"/>
            <b/>
            <color rgb="FFFFFFFF"/>
            <sz val="11"/>
          </rPr>
          <t>Count of assays using this modality.</t>
        </r>
      </text>
    </comment>
    <comment ref="G1" authorId="0">
      <text>
        <r>
          <rPr>
            <rFont val="Aptos Narrow"/>
            <b/>
            <color rgb="FFFFFFFF"/>
            <sz val="11"/>
          </rPr>
          <t>Assays of this modality.</t>
        </r>
      </text>
    </comment>
    <comment ref="B1" authorId="0">
      <text>
        <r>
          <rPr>
            <rFont val="Aptos Narrow"/>
            <b/>
            <color rgb="FFFFFFFF"/>
            <sz val="11"/>
          </rPr>
          <t>Human-readable modality name.</t>
        </r>
      </text>
    </comment>
  </commentList>
</comments>
</file>

<file path=xl/comments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federated data node.</t>
        </r>
      </text>
    </comment>
    <comment ref="C1" authorId="0">
      <text>
        <r>
          <rPr>
            <rFont val="Aptos Narrow"/>
            <b/>
            <color rgb="FFFFFFFF"/>
            <sz val="11"/>
          </rPr>
          <t>Geographic region; shifting environments may alter exposure profiles.</t>
        </r>
      </text>
    </comment>
    <comment ref="D1" authorId="0">
      <text>
        <r>
          <rPr>
            <rFont val="Aptos Narrow"/>
            <b/>
            <color rgb="FFFFFFFF"/>
            <sz val="11"/>
          </rPr>
          <t>True when node uses privacy-preserving federated learning.</t>
        </r>
      </text>
    </comment>
    <comment ref="E1" authorId="0">
      <text>
        <r>
          <rPr>
            <rFont val="Aptos Narrow"/>
            <b/>
            <color rgb="FFFFFFFF"/>
            <sz val="11"/>
          </rPr>
          <t>Display label for the federated dataset.</t>
        </r>
      </text>
    </comment>
    <comment ref="F1" authorId="0">
      <text>
        <r>
          <rPr>
            <rFont val="Aptos Narrow"/>
            <b/>
            <color rgb="FFFFFFFF"/>
            <sz val="11"/>
          </rPr>
          <t>Canonical path to this FederatedDataset page: /datasets/&lt;slug-or-id&gt;.</t>
        </r>
      </text>
    </comment>
    <comment ref="G1" authorId="0">
      <text>
        <r>
          <rPr>
            <rFont val="Aptos Narrow"/>
            <b/>
            <color rgb="FFFFFFFF"/>
            <sz val="11"/>
          </rPr>
          <t>Individuals enrolled via this federated node.</t>
        </r>
      </text>
    </comment>
    <comment ref="H1" authorId="0">
      <text>
        <r>
          <rPr>
            <rFont val="Aptos Narrow"/>
            <b/>
            <color rgb="FFFFFFFF"/>
            <sz val="11"/>
          </rPr>
          <t>Individuals linked to this federated dataset.</t>
        </r>
      </text>
    </comment>
    <comment ref="I1" authorId="0">
      <text>
        <r>
          <rPr>
            <rFont val="Aptos Narrow"/>
            <b/>
            <color rgb="FFFFFFFF"/>
            <sz val="11"/>
          </rPr>
          <t>Omics assays sourced from this node.</t>
        </r>
      </text>
    </comment>
    <comment ref="J1" authorId="0">
      <text>
        <r>
          <rPr>
            <rFont val="Aptos Narrow"/>
            <b/>
            <color rgb="FFFFFFFF"/>
            <sz val="11"/>
          </rPr>
          <t>Replications run in this cohort node.</t>
        </r>
      </text>
    </comment>
    <comment ref="B1" authorId="0">
      <text>
        <r>
          <rPr>
            <rFont val="Aptos Narrow"/>
            <b/>
            <color rgb="FFFFFFFF"/>
            <sz val="11"/>
          </rPr>
          <t>Human-readable federated node name.</t>
        </r>
      </text>
    </comment>
  </commentList>
</comments>
</file>

<file path=xl/comments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variant type.</t>
        </r>
      </text>
    </comment>
    <comment ref="C1" authorId="0">
      <text>
        <r>
          <rPr>
            <rFont val="Aptos Narrow"/>
            <b/>
            <color rgb="FFFFFFFF"/>
            <sz val="11"/>
          </rPr>
          <t>True when this type contributes to rare-variant burden scoring.</t>
        </r>
      </text>
    </comment>
    <comment ref="D1" authorId="0">
      <text>
        <r>
          <rPr>
            <rFont val="Aptos Narrow"/>
            <b/>
            <color rgb="FFFFFFFF"/>
            <sz val="11"/>
          </rPr>
          <t>Display label for variant type.</t>
        </r>
      </text>
    </comment>
    <comment ref="E1" authorId="0">
      <text>
        <r>
          <rPr>
            <rFont val="Aptos Narrow"/>
            <b/>
            <color rgb="FFFFFFFF"/>
            <sz val="11"/>
          </rPr>
          <t>Canonical path to this VariantType page: /variant-types/&lt;slug-or-id&gt;.</t>
        </r>
      </text>
    </comment>
    <comment ref="F1" authorId="0">
      <text>
        <r>
          <rPr>
            <rFont val="Aptos Narrow"/>
            <b/>
            <color rgb="FFFFFFFF"/>
            <sz val="11"/>
          </rPr>
          <t>Variants classified under this type.</t>
        </r>
      </text>
    </comment>
    <comment ref="G1" authorId="0">
      <text>
        <r>
          <rPr>
            <rFont val="Aptos Narrow"/>
            <b/>
            <color rgb="FFFFFFFF"/>
            <sz val="11"/>
          </rPr>
          <t>Genomic variants of this type.</t>
        </r>
      </text>
    </comment>
    <comment ref="B1" authorId="0">
      <text>
        <r>
          <rPr>
            <rFont val="Aptos Narrow"/>
            <b/>
            <color rgb="FFFFFFFF"/>
            <sz val="11"/>
          </rPr>
          <t>Human-readable variant mechanism label.</t>
        </r>
      </text>
    </comment>
  </commentList>
</comments>
</file>

<file path=xl/comments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individual in the million-person cohort.</t>
        </r>
      </text>
    </comment>
    <comment ref="C1" authorId="0">
      <text>
        <r>
          <rPr>
            <rFont val="Aptos Narrow"/>
            <b/>
            <color rgb="FFFFFFFF"/>
            <sz val="11"/>
          </rPr>
          <t>Participant family name (de-identified mock).</t>
        </r>
      </text>
    </comment>
    <comment ref="D1" authorId="0">
      <text>
        <r>
          <rPr>
            <rFont val="Aptos Narrow"/>
            <b/>
            <color rgb="FFFFFFFF"/>
            <sz val="11"/>
          </rPr>
          <t>Ancestry label for population stratification and ancestry-equitable risk prediction.</t>
        </r>
      </text>
    </comment>
    <comment ref="E1" authorId="0">
      <text>
        <r>
          <rPr>
            <rFont val="Aptos Narrow"/>
            <b/>
            <color rgb="FFFFFFFF"/>
            <sz val="11"/>
          </rPr>
          <t>Age in years spanning development and aging windows.</t>
        </r>
      </text>
    </comment>
    <comment ref="F1" authorId="0">
      <text>
        <r>
          <rPr>
            <rFont val="Aptos Narrow"/>
            <b/>
            <color rgb="FFFFFFFF"/>
            <sz val="11"/>
          </rPr>
          <t>True when individual ancestry was absent from primary training data.</t>
        </r>
      </text>
    </comment>
    <comment ref="G1" authorId="0">
      <text>
        <r>
          <rPr>
            <rFont val="Aptos Narrow"/>
            <b/>
            <color rgb="FFFFFFFF"/>
            <sz val="11"/>
          </rPr>
          <t>Federated dataset node when enrolled via privacy-preserving federation.</t>
        </r>
      </text>
    </comment>
    <comment ref="H1" authorId="0">
      <text>
        <r>
          <rPr>
            <rFont val="Aptos Narrow"/>
            <b/>
            <color rgb="FFFFFFFF"/>
            <sz val="11"/>
          </rPr>
          <t>Longitudinal cohort enrollment date.</t>
        </r>
      </text>
    </comment>
    <comment ref="I1" authorId="0">
      <text>
        <r>
          <rPr>
            <rFont val="Aptos Narrow"/>
            <b/>
            <color rgb="FFFFFFFF"/>
            <sz val="11"/>
          </rPr>
          <t>True when cryptic relatedness or assortative mating bias detected.</t>
        </r>
      </text>
    </comment>
    <comment ref="J1" authorId="0">
      <text>
        <r>
          <rPr>
            <rFont val="Aptos Narrow"/>
            <b/>
            <color rgb="FFFFFFFF"/>
            <sz val="11"/>
          </rPr>
          <t>Display name for the individual.</t>
        </r>
      </text>
    </comment>
    <comment ref="K1" authorId="0">
      <text>
        <r>
          <rPr>
            <rFont val="Aptos Narrow"/>
            <b/>
            <color rgb="FFFFFFFF"/>
            <sz val="11"/>
          </rPr>
          <t>URL slug for this case, family-given kebab (e.g. reyes-ana). Used in RelativePath.</t>
        </r>
      </text>
    </comment>
    <comment ref="L1" authorId="0">
      <text>
        <r>
          <rPr>
            <rFont val="Aptos Narrow"/>
            <b/>
            <color rgb="FFFFFFFF"/>
            <sz val="11"/>
          </rPr>
          <t>Canonical path to this Individual page: /intake/new-patient/&lt;slug-or-id&gt;.</t>
        </r>
      </text>
    </comment>
    <comment ref="M1" authorId="0">
      <text>
        <r>
          <rPr>
            <rFont val="Aptos Narrow"/>
            <b/>
            <color rgb="FFFFFFFF"/>
            <sz val="11"/>
          </rPr>
          <t>Lookup of federated node label.</t>
        </r>
      </text>
    </comment>
    <comment ref="N1" authorId="0">
      <text>
        <r>
          <rPr>
            <rFont val="Aptos Narrow"/>
            <b/>
            <color rgb="FFFFFFFF"/>
            <sz val="11"/>
          </rPr>
          <t>Total genomic variants for rare-variant burden assessment.</t>
        </r>
      </text>
    </comment>
    <comment ref="O1" authorId="0">
      <text>
        <r>
          <rPr>
            <rFont val="Aptos Narrow"/>
            <b/>
            <color rgb="FFFFFFFF"/>
            <sz val="11"/>
          </rPr>
          <t>Inferred causal mechanisms linked to this individual.</t>
        </r>
      </text>
    </comment>
    <comment ref="P1" authorId="0">
      <text>
        <r>
          <rPr>
            <rFont val="Aptos Narrow"/>
            <b/>
            <color rgb="FFFFFFFF"/>
            <sz val="11"/>
          </rPr>
          <t>Higher-order epistasis interactions involving this individual.</t>
        </r>
      </text>
    </comment>
    <comment ref="Q1" authorId="0">
      <text>
        <r>
          <rPr>
            <rFont val="Aptos Narrow"/>
            <b/>
            <color rgb="FFFFFFFF"/>
            <sz val="11"/>
          </rPr>
          <t>2nd-order score from rare variant count normalized by age.</t>
        </r>
      </text>
    </comment>
    <comment ref="R1" authorId="0">
      <text>
        <r>
          <rPr>
            <rFont val="Aptos Narrow"/>
            <b/>
            <color rgb="FFFFFFFF"/>
            <sz val="11"/>
          </rPr>
          <t>3rd-order composite of causal mechanisms and epistasis density.</t>
        </r>
      </text>
    </comment>
    <comment ref="S1" authorId="0">
      <text>
        <r>
          <rPr>
            <rFont val="Aptos Narrow"/>
            <b/>
            <color rgb="FFFFFFFF"/>
            <sz val="11"/>
          </rPr>
          <t>True when age falls in developmental effects window (0-25).</t>
        </r>
      </text>
    </comment>
    <comment ref="T1" authorId="0">
      <text>
        <r>
          <rPr>
            <rFont val="Aptos Narrow"/>
            <b/>
            <color rgb="FFFFFFFF"/>
            <sz val="11"/>
          </rPr>
          <t>True when age falls in aging window (60+).</t>
        </r>
      </text>
    </comment>
    <comment ref="U1" authorId="0">
      <text>
        <r>
          <rPr>
            <rFont val="Aptos Narrow"/>
            <b/>
            <color rgb="FFFFFFFF"/>
            <sz val="11"/>
          </rPr>
          <t>Count of this individual's confirmed causal-architecture nodes.</t>
        </r>
      </text>
    </comment>
    <comment ref="V1" authorId="0">
      <text>
        <r>
          <rPr>
            <rFont val="Aptos Narrow"/>
            <b/>
            <color rgb="FFFFFFFF"/>
            <sz val="11"/>
          </rPr>
          <t>Summed confidence of this individual's confirmed causal nodes (derived causal mass).</t>
        </r>
      </text>
    </comment>
    <comment ref="W1" authorId="0">
      <text>
        <r>
          <rPr>
            <rFont val="Aptos Narrow"/>
            <b/>
            <color rgb="FFFFFFFF"/>
            <sz val="11"/>
          </rPr>
          <t>Confirmed nodes that also showed cross-ancestry replication.</t>
        </r>
      </text>
    </comment>
    <comment ref="X1" authorId="0">
      <text>
        <r>
          <rPr>
            <rFont val="Aptos Narrow"/>
            <b/>
            <color rgb="FFFFFFFF"/>
            <sz val="11"/>
          </rPr>
          <t>Highest SeverityScore across this individual's clinical phenotypes (0 if none).</t>
        </r>
      </text>
    </comment>
    <comment ref="Y1" authorId="0">
      <text>
        <r>
          <rPr>
            <rFont val="Aptos Narrow"/>
            <b/>
            <color rgb="FFFFFFFF"/>
            <sz val="11"/>
          </rPr>
          <t>Count of this individual's high-severity phenotypes (SeverityScore &gt; 7).</t>
        </r>
      </text>
    </comment>
    <comment ref="Z1" authorId="0">
      <text>
        <r>
          <rPr>
            <rFont val="Aptos Narrow"/>
            <b/>
            <color rgb="FFFFFFFF"/>
            <sz val="11"/>
          </rPr>
          <t>True when the individual has at least one high-severity phenotype.</t>
        </r>
      </text>
    </comment>
    <comment ref="AA1" authorId="0">
      <text>
        <r>
          <rPr>
            <rFont val="Aptos Narrow"/>
            <b/>
            <color rgb="FFFFFFFF"/>
            <sz val="11"/>
          </rPr>
          <t>Count of this individual's treatments predicted to respond (effective ∧ mechanism-matched).</t>
        </r>
      </text>
    </comment>
    <comment ref="AB1" authorId="0">
      <text>
        <r>
          <rPr>
            <rFont val="Aptos Narrow"/>
            <b/>
            <color rgb="FFFFFFFF"/>
            <sz val="11"/>
          </rPr>
          <t>True when the individual has at least one treatment predicted to respond.</t>
        </r>
      </text>
    </comment>
    <comment ref="AC1" authorId="0">
      <text>
        <r>
          <rPr>
            <rFont val="Aptos Narrow"/>
            <b/>
            <color rgb="FFFFFFFF"/>
            <sz val="11"/>
          </rPr>
          <t>Genomic variants for this individual.</t>
        </r>
      </text>
    </comment>
    <comment ref="AD1" authorId="0">
      <text>
        <r>
          <rPr>
            <rFont val="Aptos Narrow"/>
            <b/>
            <color rgb="FFFFFFFF"/>
            <sz val="11"/>
          </rPr>
          <t>Omics assays for this individual.</t>
        </r>
      </text>
    </comment>
    <comment ref="AE1" authorId="0">
      <text>
        <r>
          <rPr>
            <rFont val="Aptos Narrow"/>
            <b/>
            <color rgb="FFFFFFFF"/>
            <sz val="11"/>
          </rPr>
          <t>Longitudinal environmental exposures.</t>
        </r>
      </text>
    </comment>
    <comment ref="AF1" authorId="0">
      <text>
        <r>
          <rPr>
            <rFont val="Aptos Narrow"/>
            <b/>
            <color rgb="FFFFFFFF"/>
            <sz val="11"/>
          </rPr>
          <t>Treatment histories.</t>
        </r>
      </text>
    </comment>
    <comment ref="AG1" authorId="0">
      <text>
        <r>
          <rPr>
            <rFont val="Aptos Narrow"/>
            <b/>
            <color rgb="FFFFFFFF"/>
            <sz val="11"/>
          </rPr>
          <t>Clinical phenotypes.</t>
        </r>
      </text>
    </comment>
    <comment ref="AH1" authorId="0">
      <text>
        <r>
          <rPr>
            <rFont val="Aptos Narrow"/>
            <b/>
            <color rgb="FFFFFFFF"/>
            <sz val="11"/>
          </rPr>
          <t>Inferred causal mechanisms.</t>
        </r>
      </text>
    </comment>
    <comment ref="AI1" authorId="0">
      <text>
        <r>
          <rPr>
            <rFont val="Aptos Narrow"/>
            <b/>
            <color rgb="FFFFFFFF"/>
            <sz val="11"/>
          </rPr>
          <t>Epistatic interactions.</t>
        </r>
      </text>
    </comment>
    <comment ref="AJ1" authorId="0">
      <text>
        <r>
          <rPr>
            <rFont val="Aptos Narrow"/>
            <b/>
            <color rgb="FFFFFFFF"/>
            <sz val="11"/>
          </rPr>
          <t>Counterfactual trajectories.</t>
        </r>
      </text>
    </comment>
    <comment ref="AK1" authorId="0">
      <text>
        <r>
          <rPr>
            <rFont val="Aptos Narrow"/>
            <b/>
            <color rgb="FFFFFFFF"/>
            <sz val="11"/>
          </rPr>
          <t>Individual predictions.</t>
        </r>
      </text>
    </comment>
    <comment ref="AL1" authorId="0">
      <text>
        <r>
          <rPr>
            <rFont val="Aptos Narrow"/>
            <b/>
            <color rgb="FFFFFFFF"/>
            <sz val="11"/>
          </rPr>
          <t>PANEL 1 of the witness (raw leaf, read by nothing downstream): the natural-language intake case the LLM was handed. Every raw observation below is extracted from THIS text; each leaf's SourceQuote points back into it so the extraction is human-checkable independently of the verdict. Synthetic but transparent — invented case, literature-aligned loci/thresholds.</t>
        </r>
      </text>
    </comment>
    <comment ref="AM1" authorId="0">
      <text>
        <r>
          <rPr>
            <rFont val="Aptos Narrow"/>
            <b/>
            <color rgb="FFFFFFFF"/>
            <sz val="11"/>
          </rPr>
          <t>Number of serology panels for this individual.</t>
        </r>
      </text>
    </comment>
    <comment ref="AN1" authorId="0">
      <text>
        <r>
          <rPr>
            <rFont val="Aptos Narrow"/>
            <b/>
            <color rgb="FFFFFFFF"/>
            <sz val="11"/>
          </rPr>
          <t>How many of this individual's panels exhibit the pre-nephritic serology signature (rising anti-dsDNA + falling complement before overt nephritis). The corpus-level roll-up of the per-panel signal; emergent from the raw series.</t>
        </r>
      </text>
    </comment>
    <comment ref="AO1" authorId="0">
      <text>
        <r>
          <rPr>
            <rFont val="Aptos Narrow"/>
            <b/>
            <color rgb="FFFFFFFF"/>
            <sz val="11"/>
          </rPr>
          <t>DERIVED cluster membership: TRUE when this individual's own raw serology series ever showed the pre-nephritic signature. The discovery 'this serology signature precedes nephritis' becomes a reproducible, witnessed corpus-level cluster — not a label anyone assigned.</t>
        </r>
      </text>
    </comment>
    <comment ref="AP1" authorId="0">
      <text>
        <r>
          <rPr>
            <rFont val="Aptos Narrow"/>
            <b/>
            <color rgb="FFFFFFFF"/>
            <sz val="11"/>
          </rPr>
          <t>DERIVED 0/1/2 strength of the pre-nephritic signature: 2 when it appears on &gt;=2 panels (persistent), 1 on exactly one panel, 0 when absent. Drives the emphasis of cluster members on the cohort scatter.</t>
        </r>
      </text>
    </comment>
    <comment ref="AQ1" authorId="0">
      <text>
        <r>
          <rPr>
            <rFont val="Aptos Narrow"/>
            <b/>
            <color rgb="FFFFFFFF"/>
            <sz val="11"/>
          </rPr>
          <t>Highest progression-state order reached across this individual's serology panels (worst/current state).</t>
        </r>
      </text>
    </comment>
    <comment ref="AR1" authorId="0">
      <text>
        <r>
          <rPr>
            <rFont val="Aptos Narrow"/>
            <b/>
            <color rgb="FFFFFFFF"/>
            <sz val="11"/>
          </rPr>
          <t>Peak SLEDAI activity score across this individual's panels (derived).</t>
        </r>
      </text>
    </comment>
    <comment ref="AS1" authorId="0">
      <text>
        <r>
          <rPr>
            <rFont val="Aptos Narrow"/>
            <b/>
            <color rgb="FFFFFFFF"/>
            <sz val="11"/>
          </rPr>
          <t>DERIVED current disease state for the lupus-nephritis-progression machine: decoded from the highest state order reached. The subject- state column of the state machine; never hand-set.</t>
        </r>
      </text>
    </comment>
    <comment ref="AT1" authorId="0">
      <text>
        <r>
          <rPr>
            <rFont val="Aptos Narrow"/>
            <b/>
            <color rgb="FFFFFFFF"/>
            <sz val="11"/>
          </rPr>
          <t>Derived disease-activity tier from peak SLEDAI score.</t>
        </r>
      </text>
    </comment>
    <comment ref="AU1" authorId="0">
      <text>
        <r>
          <rPr>
            <rFont val="Aptos Narrow"/>
            <b/>
            <color rgb="FFFFFFFF"/>
            <sz val="11"/>
          </rPr>
          <t>TRUE when peak SLEDAI &gt;= 12.</t>
        </r>
      </text>
    </comment>
    <comment ref="AV1" authorId="0">
      <text>
        <r>
          <rPr>
            <rFont val="Aptos Narrow"/>
            <b/>
            <color rgb="FFFFFFFF"/>
            <sz val="11"/>
          </rPr>
          <t>TRUE when the disease-state simulator places the patient in an active/worsening renal state (independent of the actionability gate).</t>
        </r>
      </text>
    </comment>
    <comment ref="AW1" authorId="0">
      <text>
        <r>
          <rPr>
            <rFont val="Aptos Narrow"/>
            <b/>
            <color rgb="FFFFFFFF"/>
            <sz val="11"/>
          </rPr>
          <t>Resolved pathway code from this individual's causal mechanism (MAXIFS).</t>
        </r>
      </text>
    </comment>
    <comment ref="AX1" authorId="0">
      <text>
        <r>
          <rPr>
            <rFont val="Aptos Narrow"/>
            <b/>
            <color rgb="FFFFFFFF"/>
            <sz val="11"/>
          </rPr>
          <t>Decoded druggable pathway implicated by this individual's mechanism.</t>
        </r>
      </text>
    </comment>
    <comment ref="AY1" authorId="0">
      <text>
        <r>
          <rPr>
            <rFont val="Aptos Narrow"/>
            <b/>
            <color rgb="FFFFFFFF"/>
            <sz val="11"/>
          </rPr>
          <t>This individual's current lupus-progression state as a MachineStates id (closure-view key form): the lupus-nephritis-progression machine prefix + the lowercased NephritisProgressionStateKey. Pure projection of the derived current state; used to look up closure-derived prognostics.</t>
        </r>
      </text>
    </comment>
    <comment ref="AZ1" authorId="0">
      <text>
        <r>
          <rPr>
            <rFont val="Aptos Narrow"/>
            <b/>
            <color rgb="FFFFFFFF"/>
            <sz val="11"/>
          </rPr>
          <t>How many disease states are still reachable ahead of THIS patient from their current state, via the transition closure (looks up MachineStates.ReachableStateCount for CurrentProgressionStateId). A closure-derived prognostic horizon: Diego at BiopsyIndicated has 0 ahead (terminal); a Presymptomatic patient has 5. NOT derivable from the severity rank alone (the count is non-monotonic in rank because the machine branches into remission).</t>
        </r>
      </text>
    </comment>
    <comment ref="B1" authorId="0">
      <text>
        <r>
          <rPr>
            <rFont val="Aptos Narrow"/>
            <b/>
            <color rgb="FFFFFFFF"/>
            <sz val="11"/>
          </rPr>
          <t>Participant given name (de-identified mock).</t>
        </r>
      </text>
    </comment>
  </commentList>
</comments>
</file>

<file path=xl/comments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genomic variant record.</t>
        </r>
      </text>
    </comment>
    <comment ref="C1" authorId="0">
      <text>
        <r>
          <rPr>
            <rFont val="Aptos Narrow"/>
            <b/>
            <color rgb="FFFFFFFF"/>
            <sz val="11"/>
          </rPr>
          <t>Individual carrying this variant.</t>
        </r>
      </text>
    </comment>
    <comment ref="D1" authorId="0">
      <text>
        <r>
          <rPr>
            <rFont val="Aptos Narrow"/>
            <b/>
            <color rgb="FFFFFFFF"/>
            <sz val="11"/>
          </rPr>
          <t>Variant mechanism classification.</t>
        </r>
      </text>
    </comment>
    <comment ref="E1" authorId="0">
      <text>
        <r>
          <rPr>
            <rFont val="Aptos Narrow"/>
            <b/>
            <color rgb="FFFFFFFF"/>
            <sz val="11"/>
          </rPr>
          <t>Population allele frequency for rare-variant burden.</t>
        </r>
      </text>
    </comment>
    <comment ref="F1" authorId="0">
      <text>
        <r>
          <rPr>
            <rFont val="Aptos Narrow"/>
            <b/>
            <color rgb="FFFFFFFF"/>
            <sz val="11"/>
          </rPr>
          <t>True when allele-specific expression observed.</t>
        </r>
      </text>
    </comment>
    <comment ref="G1" authorId="0">
      <text>
        <r>
          <rPr>
            <rFont val="Aptos Narrow"/>
            <b/>
            <color rgb="FFFFFFFF"/>
            <sz val="11"/>
          </rPr>
          <t>Display label.</t>
        </r>
      </text>
    </comment>
    <comment ref="H1" authorId="0">
      <text>
        <r>
          <rPr>
            <rFont val="Aptos Narrow"/>
            <b/>
            <color rgb="FFFFFFFF"/>
            <sz val="11"/>
          </rPr>
          <t>Lookup: Individuals.RelativePath via Individual — used to chain this entity's path under its parent.</t>
        </r>
      </text>
    </comment>
    <comment ref="I1" authorId="0">
      <text>
        <r>
          <rPr>
            <rFont val="Aptos Narrow"/>
            <b/>
            <color rgb="FFFFFFFF"/>
            <sz val="11"/>
          </rPr>
          <t>Path to this GenomicVariant page, chained under its Individual parent.</t>
        </r>
      </text>
    </comment>
    <comment ref="J1" authorId="0">
      <text>
        <r>
          <rPr>
            <rFont val="Aptos Narrow"/>
            <b/>
            <color rgb="FFFFFFFF"/>
            <sz val="11"/>
          </rPr>
          <t>Lookup of variant type label.</t>
        </r>
      </text>
    </comment>
    <comment ref="K1" authorId="0">
      <text>
        <r>
          <rPr>
            <rFont val="Aptos Narrow"/>
            <b/>
            <color rgb="FFFFFFFF"/>
            <sz val="11"/>
          </rPr>
          <t>Whether this variant's class is a rare-variant class (observed type property).</t>
        </r>
      </text>
    </comment>
    <comment ref="L1" authorId="0">
      <text>
        <r>
          <rPr>
            <rFont val="Aptos Narrow"/>
            <b/>
            <color rgb="FFFFFFFF"/>
            <sz val="11"/>
          </rPr>
          <t>Lookup of individual ancestry for stratification checks.</t>
        </r>
      </text>
    </comment>
    <comment ref="M1" authorId="0">
      <text>
        <r>
          <rPr>
            <rFont val="Aptos Narrow"/>
            <b/>
            <color rgb="FFFFFFFF"/>
            <sz val="11"/>
          </rPr>
          <t>True when allele frequency below 0.01.</t>
        </r>
      </text>
    </comment>
    <comment ref="N1" authorId="0">
      <text>
        <r>
          <rPr>
            <rFont val="Aptos Narrow"/>
            <b/>
            <color rgb="FFFFFFFF"/>
            <sz val="11"/>
          </rPr>
          <t>Derived: rare (by frequency or class) AND shows allele-specific expression.</t>
        </r>
      </text>
    </comment>
    <comment ref="O1" authorId="0">
      <text>
        <r>
          <rPr>
            <rFont val="Aptos Narrow"/>
            <b/>
            <color rgb="FFFFFFFF"/>
            <sz val="11"/>
          </rPr>
          <t>PANEL 2-&gt;1 provenance pointer (raw leaf, read by nothing downstream): the literal span of the patient's CaseNarrative from which this variant's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Human-readable variant label (gene/locus).</t>
        </r>
      </text>
    </comment>
  </commentList>
</comments>
</file>

<file path=xl/comments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omics assay.</t>
        </r>
      </text>
    </comment>
    <comment ref="C1" authorId="0">
      <text>
        <r>
          <rPr>
            <rFont val="Aptos Narrow"/>
            <b/>
            <color rgb="FFFFFFFF"/>
            <sz val="11"/>
          </rPr>
          <t>Individual assayed.</t>
        </r>
      </text>
    </comment>
    <comment ref="D1" authorId="0">
      <text>
        <r>
          <rPr>
            <rFont val="Aptos Narrow"/>
            <b/>
            <color rgb="FFFFFFFF"/>
            <sz val="11"/>
          </rPr>
          <t>Omics modality used.</t>
        </r>
      </text>
    </comment>
    <comment ref="E1" authorId="0">
      <text>
        <r>
          <rPr>
            <rFont val="Aptos Narrow"/>
            <b/>
            <color rgb="FFFFFFFF"/>
            <sz val="11"/>
          </rPr>
          <t>Tissue sampled; empty when missing tissues.</t>
        </r>
      </text>
    </comment>
    <comment ref="F1" authorId="0">
      <text>
        <r>
          <rPr>
            <rFont val="Aptos Narrow"/>
            <b/>
            <color rgb="FFFFFFFF"/>
            <sz val="11"/>
          </rPr>
          <t>Source federated node if applicable.</t>
        </r>
      </text>
    </comment>
    <comment ref="G1" authorId="0">
      <text>
        <r>
          <rPr>
            <rFont val="Aptos Narrow"/>
            <b/>
            <color rgb="FFFFFFFF"/>
            <sz val="11"/>
          </rPr>
          <t>Sequencing batch for batch effects control.</t>
        </r>
      </text>
    </comment>
    <comment ref="H1" authorId="0">
      <text>
        <r>
          <rPr>
            <rFont val="Aptos Narrow"/>
            <b/>
            <color rgb="FFFFFFFF"/>
            <sz val="11"/>
          </rPr>
          <t>Estimated measurement error (0-1).</t>
        </r>
      </text>
    </comment>
    <comment ref="I1" authorId="0">
      <text>
        <r>
          <rPr>
            <rFont val="Aptos Narrow"/>
            <b/>
            <color rgb="FFFFFFFF"/>
            <sz val="11"/>
          </rPr>
          <t>True when cell-state-specific effects detected.</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OmicsAssay page, chained under its Individual parent.</t>
        </r>
      </text>
    </comment>
    <comment ref="M1" authorId="0">
      <text>
        <r>
          <rPr>
            <rFont val="Aptos Narrow"/>
            <b/>
            <color rgb="FFFFFFFF"/>
            <sz val="11"/>
          </rPr>
          <t>Lookup of modality label.</t>
        </r>
      </text>
    </comment>
    <comment ref="N1" authorId="0">
      <text>
        <r>
          <rPr>
            <rFont val="Aptos Narrow"/>
            <b/>
            <color rgb="FFFFFFFF"/>
            <sz val="11"/>
          </rPr>
          <t>Lookup of tissue label.</t>
        </r>
      </text>
    </comment>
    <comment ref="O1" authorId="0">
      <text>
        <r>
          <rPr>
            <rFont val="Aptos Narrow"/>
            <b/>
            <color rgb="FFFFFFFF"/>
            <sz val="11"/>
          </rPr>
          <t>True when measurement error exceeds 0.3.</t>
        </r>
      </text>
    </comment>
    <comment ref="P1" authorId="0">
      <text>
        <r>
          <rPr>
            <rFont val="Aptos Narrow"/>
            <b/>
            <color rgb="FFFFFFFF"/>
            <sz val="11"/>
          </rPr>
          <t>2nd-order quality flag.</t>
        </r>
      </text>
    </comment>
    <comment ref="Q1" authorId="0">
      <text>
        <r>
          <rPr>
            <rFont val="Aptos Narrow"/>
            <b/>
            <color rgb="FFFFFFFF"/>
            <sz val="11"/>
          </rPr>
          <t>Evidence items measured in this assay.</t>
        </r>
      </text>
    </comment>
    <comment ref="B1" authorId="0">
      <text>
        <r>
          <rPr>
            <rFont val="Aptos Narrow"/>
            <b/>
            <color rgb="FFFFFFFF"/>
            <sz val="11"/>
          </rPr>
          <t>Human-readable assay label.</t>
        </r>
      </text>
    </comment>
  </commentList>
</comments>
</file>

<file path=xl/comments1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evidence observation.</t>
        </r>
      </text>
    </comment>
    <comment ref="C1" authorId="0">
      <text>
        <r>
          <rPr>
            <rFont val="Aptos Narrow"/>
            <b/>
            <color rgb="FFFFFFFF"/>
            <sz val="11"/>
          </rPr>
          <t>FK to the mechanism this evidence supports.</t>
        </r>
      </text>
    </comment>
    <comment ref="D1" authorId="0">
      <text>
        <r>
          <rPr>
            <rFont val="Aptos Narrow"/>
            <b/>
            <color rgb="FFFFFFFF"/>
            <sz val="11"/>
          </rPr>
          <t>FK to the omics assay this signal was measured in.</t>
        </r>
      </text>
    </comment>
    <comment ref="E1" authorId="0">
      <text>
        <r>
          <rPr>
            <rFont val="Aptos Narrow"/>
            <b/>
            <color rgb="FFFFFFFF"/>
            <sz val="11"/>
          </rPr>
          <t>OBSERVATION: measured (absolute) effect magnitude.</t>
        </r>
      </text>
    </comment>
    <comment ref="F1" authorId="0">
      <text>
        <r>
          <rPr>
            <rFont val="Aptos Narrow"/>
            <b/>
            <color rgb="FFFFFFFF"/>
            <sz val="11"/>
          </rPr>
          <t>OBSERVATION: measured standard error of the effect.</t>
        </r>
      </text>
    </comment>
    <comment ref="G1" authorId="0">
      <text>
        <r>
          <rPr>
            <rFont val="Aptos Narrow"/>
            <b/>
            <color rgb="FFFFFFFF"/>
            <sz val="11"/>
          </rPr>
          <t>OBSERVATION: TRUE if this signal comes from a different omics modality than the mechanism's primary one.</t>
        </r>
      </text>
    </comment>
    <comment ref="H1" authorId="0">
      <text>
        <r>
          <rPr>
            <rFont val="Aptos Narrow"/>
            <b/>
            <color rgb="FFFFFFFF"/>
            <sz val="11"/>
          </rPr>
          <t>OBSERVATION: TRUE if this row is a measured control arm rather than support.</t>
        </r>
      </text>
    </comment>
    <comment ref="I1" authorId="0">
      <text>
        <r>
          <rPr>
            <rFont val="Aptos Narrow"/>
            <b/>
            <color rgb="FFFFFFFF"/>
            <sz val="11"/>
          </rPr>
          <t>OBSERVATION: TRUE if the analysis adjusted for ancestry principal components.</t>
        </r>
      </text>
    </comment>
    <comment ref="J1" authorId="0">
      <text>
        <r>
          <rPr>
            <rFont val="Aptos Narrow"/>
            <b/>
            <color rgb="FFFFFFFF"/>
            <sz val="11"/>
          </rPr>
          <t>OBSERVATION: TRUE if the analysis adjusted for batch.</t>
        </r>
      </text>
    </comment>
    <comment ref="K1" authorId="0">
      <text>
        <r>
          <rPr>
            <rFont val="Aptos Narrow"/>
            <b/>
            <color rgb="FFFFFFFF"/>
            <sz val="11"/>
          </rPr>
          <t>TRUST BOUNDARY (raw leaf, read by nothing downstream): TRUE marks this row as an LLM-produced synthetic-but-transparent test result rather than a real measured observation. Surfaces in the writeup so legible-reasoning-over-synthetic-evidence is never misread as solved science. The case is invented; this flag says so out loud at the cell level.</t>
        </r>
      </text>
    </comment>
    <comment ref="L1" authorId="0">
      <text>
        <r>
          <rPr>
            <rFont val="Aptos Narrow"/>
            <b/>
            <color rgb="FFFFFFFF"/>
            <sz val="11"/>
          </rPr>
          <t>PROVENANCE STUB (raw leaf, read by nothing downstream): which real assay/modality this synthetic leaf stands in for (e.g. 'cis-eQTL, whole-blood RNA-seq'). Documents where real evidence would attach if this case were instrumented.</t>
        </r>
      </text>
    </comment>
    <comment ref="M1" authorId="0">
      <text>
        <r>
          <rPr>
            <rFont val="Aptos Narrow"/>
            <b/>
            <color rgb="FFFFFFFF"/>
            <sz val="11"/>
          </rPr>
          <t>PROVENANCE STUB (raw leaf, read by nothing downstream): the identification assumption under which this leaf would be valid evidence (e.g. 'no horizontal pleiotropy; instrument relevance F&gt;10'). Turns 'synthetic test result' into 'documentation of where real evidence attaches and under what condition it is trustworthy'.</t>
        </r>
      </text>
    </comment>
    <comment ref="N1" authorId="0">
      <text>
        <r>
          <rPr>
            <rFont val="Aptos Narrow"/>
            <b/>
            <color rgb="FFFFFFFF"/>
            <sz val="11"/>
          </rPr>
          <t>Display name.</t>
        </r>
      </text>
    </comment>
    <comment ref="O1" authorId="0">
      <text>
        <r>
          <rPr>
            <rFont val="Aptos Narrow"/>
            <b/>
            <color rgb="FFFFFFFF"/>
            <sz val="11"/>
          </rPr>
          <t>Lookup: CausalMechanisms.RelativePath via CausalMechanism — used to chain this entity's path under its parent.</t>
        </r>
      </text>
    </comment>
    <comment ref="P1" authorId="0">
      <text>
        <r>
          <rPr>
            <rFont val="Aptos Narrow"/>
            <b/>
            <color rgb="FFFFFFFF"/>
            <sz val="11"/>
          </rPr>
          <t>Path to this EvidenceItem page, chained under its CausalMechanism parent.</t>
        </r>
      </text>
    </comment>
    <comment ref="Q1" authorId="0">
      <text>
        <r>
          <rPr>
            <rFont val="Aptos Narrow"/>
            <b/>
            <color rgb="FFFFFFFF"/>
            <sz val="11"/>
          </rPr>
          <t>Whether the supporting assay passed quality control.</t>
        </r>
      </text>
    </comment>
    <comment ref="R1" authorId="0">
      <text>
        <r>
          <rPr>
            <rFont val="Aptos Narrow"/>
            <b/>
            <color rgb="FFFFFFFF"/>
            <sz val="11"/>
          </rPr>
          <t>Derived signal-to-noise ratio (effect / SE), 0 if SE non-positive.</t>
        </r>
      </text>
    </comment>
    <comment ref="S1" authorId="0">
      <text>
        <r>
          <rPr>
            <rFont val="Aptos Narrow"/>
            <b/>
            <color rgb="FFFFFFFF"/>
            <sz val="11"/>
          </rPr>
          <t>Derived: both ancestry-PC and batch adjustment present.</t>
        </r>
      </text>
    </comment>
    <comment ref="T1" authorId="0">
      <text>
        <r>
          <rPr>
            <rFont val="Aptos Narrow"/>
            <b/>
            <color rgb="FFFFFFFF"/>
            <sz val="11"/>
          </rPr>
          <t>Derived: clean assay, real support arm, signal-to-noise &gt;= 2, confound-controlled.</t>
        </r>
      </text>
    </comment>
    <comment ref="U1" authorId="0">
      <text>
        <r>
          <rPr>
            <rFont val="Aptos Narrow"/>
            <b/>
            <color rgb="FFFFFFFF"/>
            <sz val="11"/>
          </rPr>
          <t>PANEL 2-&gt;1 provenance pointer (raw leaf, read by nothing downstream): the literal span of the patient's CaseNarrative from which this evidence assay's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 for the evidence row.</t>
        </r>
      </text>
    </comment>
  </commentList>
</comments>
</file>

<file path=xl/comments1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replication attempt.</t>
        </r>
      </text>
    </comment>
    <comment ref="C1" authorId="0">
      <text>
        <r>
          <rPr>
            <rFont val="Aptos Narrow"/>
            <b/>
            <color rgb="FFFFFFFF"/>
            <sz val="11"/>
          </rPr>
          <t>FK to the mechanism being re-tested.</t>
        </r>
      </text>
    </comment>
    <comment ref="D1" authorId="0">
      <text>
        <r>
          <rPr>
            <rFont val="Aptos Narrow"/>
            <b/>
            <color rgb="FFFFFFFF"/>
            <sz val="11"/>
          </rPr>
          <t>FK to the cohort node the re-test ran in.</t>
        </r>
      </text>
    </comment>
    <comment ref="E1" authorId="0">
      <text>
        <r>
          <rPr>
            <rFont val="Aptos Narrow"/>
            <b/>
            <color rgb="FFFFFFFF"/>
            <sz val="11"/>
          </rPr>
          <t>OBSERVATION: sign of the re-estimated effect (+1 / -1 / 0).</t>
        </r>
      </text>
    </comment>
    <comment ref="F1" authorId="0">
      <text>
        <r>
          <rPr>
            <rFont val="Aptos Narrow"/>
            <b/>
            <color rgb="FFFFFFFF"/>
            <sz val="11"/>
          </rPr>
          <t>OBSERVATION: p-value of the re-test.</t>
        </r>
      </text>
    </comment>
    <comment ref="G1" authorId="0">
      <text>
        <r>
          <rPr>
            <rFont val="Aptos Narrow"/>
            <b/>
            <color rgb="FFFFFFFF"/>
            <sz val="11"/>
          </rPr>
          <t>OBSERVATION: ancestry of the cohort the re-test ran in.</t>
        </r>
      </text>
    </comment>
    <comment ref="H1" authorId="0">
      <text>
        <r>
          <rPr>
            <rFont val="Aptos Narrow"/>
            <b/>
            <color rgb="FFFFFFFF"/>
            <sz val="11"/>
          </rPr>
          <t>Display name.</t>
        </r>
      </text>
    </comment>
    <comment ref="I1" authorId="0">
      <text>
        <r>
          <rPr>
            <rFont val="Aptos Narrow"/>
            <b/>
            <color rgb="FFFFFFFF"/>
            <sz val="11"/>
          </rPr>
          <t>Lookup: CausalMechanisms.RelativePath via CausalMechanism — used to chain this entity's path under its parent.</t>
        </r>
      </text>
    </comment>
    <comment ref="J1" authorId="0">
      <text>
        <r>
          <rPr>
            <rFont val="Aptos Narrow"/>
            <b/>
            <color rgb="FFFFFFFF"/>
            <sz val="11"/>
          </rPr>
          <t>Path to this CohortReplication page, chained under its CausalMechanism parent.</t>
        </r>
      </text>
    </comment>
    <comment ref="K1" authorId="0">
      <text>
        <r>
          <rPr>
            <rFont val="Aptos Narrow"/>
            <b/>
            <color rgb="FFFFFFFF"/>
            <sz val="11"/>
          </rPr>
          <t>Derived: reproduced the predicted (positive) sign at nominal significance.</t>
        </r>
      </text>
    </comment>
    <comment ref="L1" authorId="0">
      <text>
        <r>
          <rPr>
            <rFont val="Aptos Narrow"/>
            <b/>
            <color rgb="FFFFFFFF"/>
            <sz val="11"/>
          </rPr>
          <t>Ancestry of the individual the mechanism was discovered in.</t>
        </r>
      </text>
    </comment>
    <comment ref="M1" authorId="0">
      <text>
        <r>
          <rPr>
            <rFont val="Aptos Narrow"/>
            <b/>
            <color rgb="FFFFFFFF"/>
            <sz val="11"/>
          </rPr>
          <t>Derived: the re-test ran in a different ancestry than discovery.</t>
        </r>
      </text>
    </comment>
    <comment ref="N1" authorId="0">
      <text>
        <r>
          <rPr>
            <rFont val="Aptos Narrow"/>
            <b/>
            <color rgb="FFFFFFFF"/>
            <sz val="11"/>
          </rPr>
          <t>Derived: replicated at significance AND in a different ancestry (the transportability atom).</t>
        </r>
      </text>
    </comment>
    <comment ref="O1" authorId="0">
      <text>
        <r>
          <rPr>
            <rFont val="Aptos Narrow"/>
            <b/>
            <color rgb="FFFFFFFF"/>
            <sz val="11"/>
          </rPr>
          <t>PANEL 2-&gt;1 provenance pointer (raw leaf, read by nothing downstream): the literal span of the patient's CaseNarrative from which this replication's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1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control test.</t>
        </r>
      </text>
    </comment>
    <comment ref="C1" authorId="0">
      <text>
        <r>
          <rPr>
            <rFont val="Aptos Narrow"/>
            <b/>
            <color rgb="FFFFFFFF"/>
            <sz val="11"/>
          </rPr>
          <t>FK to the mechanism being controlled.</t>
        </r>
      </text>
    </comment>
    <comment ref="D1" authorId="0">
      <text>
        <r>
          <rPr>
            <rFont val="Aptos Narrow"/>
            <b/>
            <color rgb="FFFFFFFF"/>
            <sz val="11"/>
          </rPr>
          <t>OBSERVATION: kind of control (ancestry-permutation / batch-stratified / negative-control).</t>
        </r>
      </text>
    </comment>
    <comment ref="E1" authorId="0">
      <text>
        <r>
          <rPr>
            <rFont val="Aptos Narrow"/>
            <b/>
            <color rgb="FFFFFFFF"/>
            <sz val="11"/>
          </rPr>
          <t>OBSERVATION: (absolute) effect measured under the null/permuted control.</t>
        </r>
      </text>
    </comment>
    <comment ref="F1" authorId="0">
      <text>
        <r>
          <rPr>
            <rFont val="Aptos Narrow"/>
            <b/>
            <color rgb="FFFFFFFF"/>
            <sz val="11"/>
          </rPr>
          <t>OBSERVATION: pre-registered null-band half-width the control must stay within.</t>
        </r>
      </text>
    </comment>
    <comment ref="G1" authorId="0">
      <text>
        <r>
          <rPr>
            <rFont val="Aptos Narrow"/>
            <b/>
            <color rgb="FFFFFFFF"/>
            <sz val="11"/>
          </rPr>
          <t>Display name.</t>
        </r>
      </text>
    </comment>
    <comment ref="H1" authorId="0">
      <text>
        <r>
          <rPr>
            <rFont val="Aptos Narrow"/>
            <b/>
            <color rgb="FFFFFFFF"/>
            <sz val="11"/>
          </rPr>
          <t>Lookup: CausalMechanisms.RelativePath via CausalMechanism — used to chain this entity's path under its parent.</t>
        </r>
      </text>
    </comment>
    <comment ref="I1" authorId="0">
      <text>
        <r>
          <rPr>
            <rFont val="Aptos Narrow"/>
            <b/>
            <color rgb="FFFFFFFF"/>
            <sz val="11"/>
          </rPr>
          <t>Path to this NegativeControlTest page, chained under its CausalMechanism parent.</t>
        </r>
      </text>
    </comment>
    <comment ref="J1" authorId="0">
      <text>
        <r>
          <rPr>
            <rFont val="Aptos Narrow"/>
            <b/>
            <color rgb="FFFFFFFF"/>
            <sz val="11"/>
          </rPr>
          <t>Derived: signal collapses under the control (within the null band), as a true causal effect should.</t>
        </r>
      </text>
    </comment>
    <comment ref="K1" authorId="0">
      <text>
        <r>
          <rPr>
            <rFont val="Aptos Narrow"/>
            <b/>
            <color rgb="FFFFFFFF"/>
            <sz val="11"/>
          </rPr>
          <t>PANEL 2-&gt;1 provenance pointer (raw leaf, read by nothing downstream): the literal span of the patient's CaseNarrative from which this negative control's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1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exposure record.</t>
        </r>
      </text>
    </comment>
    <comment ref="C1" authorId="0">
      <text>
        <r>
          <rPr>
            <rFont val="Aptos Narrow"/>
            <b/>
            <color rgb="FFFFFFFF"/>
            <sz val="11"/>
          </rPr>
          <t>Exposed individual.</t>
        </r>
      </text>
    </comment>
    <comment ref="D1" authorId="0">
      <text>
        <r>
          <rPr>
            <rFont val="Aptos Narrow"/>
            <b/>
            <color rgb="FFFFFFFF"/>
            <sz val="11"/>
          </rPr>
          <t>Quantified exposure intensity.</t>
        </r>
      </text>
    </comment>
    <comment ref="E1" authorId="0">
      <text>
        <r>
          <rPr>
            <rFont val="Aptos Narrow"/>
            <b/>
            <color rgb="FFFFFFFF"/>
            <sz val="11"/>
          </rPr>
          <t>Start of longitudinal exposure window.</t>
        </r>
      </text>
    </comment>
    <comment ref="F1" authorId="0">
      <text>
        <r>
          <rPr>
            <rFont val="Aptos Narrow"/>
            <b/>
            <color rgb="FFFFFFFF"/>
            <sz val="11"/>
          </rPr>
          <t>True when exposure reflects maternal developmental effects.</t>
        </r>
      </text>
    </comment>
    <comment ref="G1" authorId="0">
      <text>
        <r>
          <rPr>
            <rFont val="Aptos Narrow"/>
            <b/>
            <color rgb="FFFFFFFF"/>
            <sz val="11"/>
          </rPr>
          <t>Display label.</t>
        </r>
      </text>
    </comment>
    <comment ref="H1" authorId="0">
      <text>
        <r>
          <rPr>
            <rFont val="Aptos Narrow"/>
            <b/>
            <color rgb="FFFFFFFF"/>
            <sz val="11"/>
          </rPr>
          <t>Lookup: Individuals.RelativePath via Individual — used to chain this entity's path under its parent.</t>
        </r>
      </text>
    </comment>
    <comment ref="I1" authorId="0">
      <text>
        <r>
          <rPr>
            <rFont val="Aptos Narrow"/>
            <b/>
            <color rgb="FFFFFFFF"/>
            <sz val="11"/>
          </rPr>
          <t>Path to this EnvironmentalExposure page, chained under its Individual parent.</t>
        </r>
      </text>
    </comment>
    <comment ref="J1" authorId="0">
      <text>
        <r>
          <rPr>
            <rFont val="Aptos Narrow"/>
            <b/>
            <color rgb="FFFFFFFF"/>
            <sz val="11"/>
          </rPr>
          <t>Ancestry lookup for stratification.</t>
        </r>
      </text>
    </comment>
    <comment ref="K1" authorId="0">
      <text>
        <r>
          <rPr>
            <rFont val="Aptos Narrow"/>
            <b/>
            <color rgb="FFFFFFFF"/>
            <sz val="11"/>
          </rPr>
          <t>True when exposure level exceeds threshold.</t>
        </r>
      </text>
    </comment>
    <comment ref="B1" authorId="0">
      <text>
        <r>
          <rPr>
            <rFont val="Aptos Narrow"/>
            <b/>
            <color rgb="FFFFFFFF"/>
            <sz val="11"/>
          </rPr>
          <t>Exposure name (smoking, UV, particulate, etc.).</t>
        </r>
      </text>
    </comment>
  </commentList>
</comments>
</file>

<file path=xl/comments1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treatment record.</t>
        </r>
      </text>
    </comment>
    <comment ref="C1" authorId="0">
      <text>
        <r>
          <rPr>
            <rFont val="Aptos Narrow"/>
            <b/>
            <color rgb="FFFFFFFF"/>
            <sz val="11"/>
          </rPr>
          <t>Treated individual.</t>
        </r>
      </text>
    </comment>
    <comment ref="D1" authorId="0">
      <text>
        <r>
          <rPr>
            <rFont val="Aptos Narrow"/>
            <b/>
            <color rgb="FFFFFFFF"/>
            <sz val="11"/>
          </rPr>
          <t>Target autoimmune disease.</t>
        </r>
      </text>
    </comment>
    <comment ref="E1" authorId="0">
      <text>
        <r>
          <rPr>
            <rFont val="Aptos Narrow"/>
            <b/>
            <color rgb="FFFFFFFF"/>
            <sz val="11"/>
          </rPr>
          <t>FK to the CausalMechanism this treatment acts on (the drug's target mechanism). Raw leaf: which mechanism the clinician/LLM says this therapy targets.</t>
        </r>
      </text>
    </comment>
    <comment ref="F1" authorId="0">
      <text>
        <r>
          <rPr>
            <rFont val="Aptos Narrow"/>
            <b/>
            <color rgb="FFFFFFFF"/>
            <sz val="11"/>
          </rPr>
          <t>Response category: Complete, Partial, None, Adverse.</t>
        </r>
      </text>
    </comment>
    <comment ref="G1" authorId="0">
      <text>
        <r>
          <rPr>
            <rFont val="Aptos Narrow"/>
            <b/>
            <color rgb="FFFFFFFF"/>
            <sz val="11"/>
          </rPr>
          <t>True when molecular state shifted due to therapy.</t>
        </r>
      </text>
    </comment>
    <comment ref="H1" authorId="0">
      <text>
        <r>
          <rPr>
            <rFont val="Aptos Narrow"/>
            <b/>
            <color rgb="FFFFFFFF"/>
            <sz val="11"/>
          </rPr>
          <t>True when adverse effects observed.</t>
        </r>
      </text>
    </comment>
    <comment ref="I1" authorId="0">
      <text>
        <r>
          <rPr>
            <rFont val="Aptos Narrow"/>
            <b/>
            <color rgb="FFFFFFFF"/>
            <sz val="11"/>
          </rPr>
          <t>Treatment start date.</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Treatment page, chained under its Individual parent.</t>
        </r>
      </text>
    </comment>
    <comment ref="M1" authorId="0">
      <text>
        <r>
          <rPr>
            <rFont val="Aptos Narrow"/>
            <b/>
            <color rgb="FFFFFFFF"/>
            <sz val="11"/>
          </rPr>
          <t>Disease label lookup.</t>
        </r>
      </text>
    </comment>
    <comment ref="N1" authorId="0">
      <text>
        <r>
          <rPr>
            <rFont val="Aptos Narrow"/>
            <b/>
            <color rgb="FFFFFFFF"/>
            <sz val="11"/>
          </rPr>
          <t>True for Complete or Partial response without adverse effects.</t>
        </r>
      </text>
    </comment>
    <comment ref="O1" authorId="0">
      <text>
        <r>
          <rPr>
            <rFont val="Aptos Narrow"/>
            <b/>
            <color rgb="FFFFFFFF"/>
            <sz val="11"/>
          </rPr>
          <t>True when the treatment's target mechanism is a CONFIRMED causal-architecture node (empty-guarded). This is the 'mechanism match'.</t>
        </r>
      </text>
    </comment>
    <comment ref="P1" authorId="0">
      <text>
        <r>
          <rPr>
            <rFont val="Aptos Narrow"/>
            <b/>
            <color rgb="FFFFFFFF"/>
            <sz val="11"/>
          </rPr>
          <t>Derived: the treatment is effective AND targets a confirmed mechanism. A drug aimed at a debunked mechanism, or one that didn't respond / was adverse, is NOT predicted.</t>
        </r>
      </text>
    </comment>
    <comment ref="Q1" authorId="0">
      <text>
        <r>
          <rPr>
            <rFont val="Aptos Narrow"/>
            <b/>
            <color rgb="FFFFFFFF"/>
            <sz val="11"/>
          </rPr>
          <t>Why response is/ isn't predicted — the single deciding reason.</t>
        </r>
      </text>
    </comment>
    <comment ref="B1" authorId="0">
      <text>
        <r>
          <rPr>
            <rFont val="Aptos Narrow"/>
            <b/>
            <color rgb="FFFFFFFF"/>
            <sz val="11"/>
          </rPr>
          <t>Therapy name.</t>
        </r>
      </text>
    </comment>
  </commentList>
</comments>
</file>

<file path=xl/comments1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phenotype measurement.</t>
        </r>
      </text>
    </comment>
    <comment ref="C1" authorId="0">
      <text>
        <r>
          <rPr>
            <rFont val="Aptos Narrow"/>
            <b/>
            <color rgb="FFFFFFFF"/>
            <sz val="11"/>
          </rPr>
          <t>Individual measured.</t>
        </r>
      </text>
    </comment>
    <comment ref="D1" authorId="0">
      <text>
        <r>
          <rPr>
            <rFont val="Aptos Narrow"/>
            <b/>
            <color rgb="FFFFFFFF"/>
            <sz val="11"/>
          </rPr>
          <t>Related autoimmune disease.</t>
        </r>
      </text>
    </comment>
    <comment ref="E1" authorId="0">
      <text>
        <r>
          <rPr>
            <rFont val="Aptos Narrow"/>
            <b/>
            <color rgb="FFFFFFFF"/>
            <sz val="11"/>
          </rPr>
          <t>Disease stage at measurement.</t>
        </r>
      </text>
    </comment>
    <comment ref="F1" authorId="0">
      <text>
        <r>
          <rPr>
            <rFont val="Aptos Narrow"/>
            <b/>
            <color rgb="FFFFFFFF"/>
            <sz val="11"/>
          </rPr>
          <t>Tissue context if applicable.</t>
        </r>
      </text>
    </comment>
    <comment ref="G1" authorId="0">
      <text>
        <r>
          <rPr>
            <rFont val="Aptos Narrow"/>
            <b/>
            <color rgb="FFFFFFFF"/>
            <sz val="11"/>
          </rPr>
          <t>Disease severity (0-10).</t>
        </r>
      </text>
    </comment>
    <comment ref="H1" authorId="0">
      <text>
        <r>
          <rPr>
            <rFont val="Aptos Narrow"/>
            <b/>
            <color rgb="FFFFFFFF"/>
            <sz val="11"/>
          </rPr>
          <t>Date of phenotype assessment.</t>
        </r>
      </text>
    </comment>
    <comment ref="I1" authorId="0">
      <text>
        <r>
          <rPr>
            <rFont val="Aptos Narrow"/>
            <b/>
            <color rgb="FFFFFFFF"/>
            <sz val="11"/>
          </rPr>
          <t>True when immune dysfunction markers elevated.</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ClinicalPhenotype page, chained under its Individual parent.</t>
        </r>
      </text>
    </comment>
    <comment ref="M1" authorId="0">
      <text>
        <r>
          <rPr>
            <rFont val="Aptos Narrow"/>
            <b/>
            <color rgb="FFFFFFFF"/>
            <sz val="11"/>
          </rPr>
          <t>Stage label lookup.</t>
        </r>
      </text>
    </comment>
    <comment ref="N1" authorId="0">
      <text>
        <r>
          <rPr>
            <rFont val="Aptos Narrow"/>
            <b/>
            <color rgb="FFFFFFFF"/>
            <sz val="11"/>
          </rPr>
          <t>True when severity exceeds 7.</t>
        </r>
      </text>
    </comment>
    <comment ref="O1" authorId="0">
      <text>
        <r>
          <rPr>
            <rFont val="Aptos Narrow"/>
            <b/>
            <color rgb="FFFFFFFF"/>
            <sz val="11"/>
          </rPr>
          <t>True when stage is presymptomatic.</t>
        </r>
      </text>
    </comment>
    <comment ref="B1" authorId="0">
      <text>
        <r>
          <rPr>
            <rFont val="Aptos Narrow"/>
            <b/>
            <color rgb="FFFFFFFF"/>
            <sz val="11"/>
          </rPr>
          <t>Phenotype name.</t>
        </r>
      </text>
    </comment>
  </commentList>
</comments>
</file>

<file path=xl/comments1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causal mechanism hypothesis.</t>
        </r>
      </text>
    </comment>
    <comment ref="C1" authorId="0">
      <text>
        <r>
          <rPr>
            <rFont val="Aptos Narrow"/>
            <b/>
            <color rgb="FFFFFFFF"/>
            <sz val="11"/>
          </rPr>
          <t>Individual for whom mechanism is inferred.</t>
        </r>
      </text>
    </comment>
    <comment ref="D1" authorId="0">
      <text>
        <r>
          <rPr>
            <rFont val="Aptos Narrow"/>
            <b/>
            <color rgb="FFFFFFFF"/>
            <sz val="11"/>
          </rPr>
          <t>Primary genomic variant if applicable.</t>
        </r>
      </text>
    </comment>
    <comment ref="E1" authorId="0">
      <text>
        <r>
          <rPr>
            <rFont val="Aptos Narrow"/>
            <b/>
            <color rgb="FFFFFFFF"/>
            <sz val="11"/>
          </rPr>
          <t>Environmental exposure if gene-environment interaction.</t>
        </r>
      </text>
    </comment>
    <comment ref="F1" authorId="0">
      <text>
        <r>
          <rPr>
            <rFont val="Aptos Narrow"/>
            <b/>
            <color rgb="FFFFFFFF"/>
            <sz val="11"/>
          </rPr>
          <t>Type: regulatory, coding, gene-environment-microbiome, epigenetic-inheritance, enhancer-promoter, feedback.</t>
        </r>
      </text>
    </comment>
    <comment ref="G1" authorId="0">
      <text>
        <r>
          <rPr>
            <rFont val="Aptos Narrow"/>
            <b/>
            <color rgb="FFFFFFFF"/>
            <sz val="11"/>
          </rPr>
          <t>NEW RAW LEAF: druggable pathway this confirmed mechanism implicates (type-I-IFN / B-cell/autoantibody / T-cell-costim / IL-17/23). Drives treatment-line selection. An observation about the mechanism, not derived.</t>
        </r>
      </text>
    </comment>
    <comment ref="H1" authorId="0">
      <text>
        <r>
          <rPr>
            <rFont val="Aptos Narrow"/>
            <b/>
            <color rgb="FFFFFFFF"/>
            <sz val="11"/>
          </rPr>
          <t>Numeric encoding of TargetPathway so the individual can resolve it via a MAXIFS aggregation (transpiler-friendly). 1=type-I-IFN 2=B-cell 3=T-cell 4=IL-17/23.</t>
        </r>
      </text>
    </comment>
    <comment ref="I1" authorId="0">
      <text>
        <r>
          <rPr>
            <rFont val="Aptos Narrow"/>
            <b/>
            <color rgb="FFFFFFFF"/>
            <sz val="11"/>
          </rPr>
          <t>True when mechanism shows pleiotropy across phenotypes.</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CausalMechanism page, chained under its Individual parent.</t>
        </r>
      </text>
    </comment>
    <comment ref="M1" authorId="0">
      <text>
        <r>
          <rPr>
            <rFont val="Aptos Narrow"/>
            <b/>
            <color rgb="FFFFFFFF"/>
            <sz val="11"/>
          </rPr>
          <t>Ancestry lookup.</t>
        </r>
      </text>
    </comment>
    <comment ref="N1" authorId="0">
      <text>
        <r>
          <rPr>
            <rFont val="Aptos Narrow"/>
            <b/>
            <color rgb="FFFFFFFF"/>
            <sz val="11"/>
          </rPr>
          <t>Count of qualified evidence items supporting this mechanism.</t>
        </r>
      </text>
    </comment>
    <comment ref="O1" authorId="0">
      <text>
        <r>
          <rPr>
            <rFont val="Aptos Narrow"/>
            <b/>
            <color rgb="FFFFFFFF"/>
            <sz val="11"/>
          </rPr>
          <t>Count of qualified cross-modality evidence items (multi-omic corroboration).</t>
        </r>
      </text>
    </comment>
    <comment ref="P1" authorId="0">
      <text>
        <r>
          <rPr>
            <rFont val="Aptos Narrow"/>
            <b/>
            <color rgb="FFFFFFFF"/>
            <sz val="11"/>
          </rPr>
          <t>Count of perturbable intervention targets for this mechanism (falsifiability requires &gt;=1).</t>
        </r>
      </text>
    </comment>
    <comment ref="Q1" authorId="0">
      <text>
        <r>
          <rPr>
            <rFont val="Aptos Narrow"/>
            <b/>
            <color rgb="FFFFFFFF"/>
            <sz val="11"/>
          </rPr>
          <t>Derived: a measurable qualified effect exists AND a named intervention can perturb it.</t>
        </r>
      </text>
    </comment>
    <comment ref="R1" authorId="0">
      <text>
        <r>
          <rPr>
            <rFont val="Aptos Narrow"/>
            <b/>
            <color rgb="FFFFFFFF"/>
            <sz val="11"/>
          </rPr>
          <t>Total cross-cohort re-tests of this mechanism.</t>
        </r>
      </text>
    </comment>
    <comment ref="S1" authorId="0">
      <text>
        <r>
          <rPr>
            <rFont val="Aptos Narrow"/>
            <b/>
            <color rgb="FFFFFFFF"/>
            <sz val="11"/>
          </rPr>
          <t>Re-tests reproducing the predicted sign at significance.</t>
        </r>
      </text>
    </comment>
    <comment ref="T1" authorId="0">
      <text>
        <r>
          <rPr>
            <rFont val="Aptos Narrow"/>
            <b/>
            <color rgb="FFFFFFFF"/>
            <sz val="11"/>
          </rPr>
          <t>Concordant re-tests that ran in a DIFFERENT ancestry (the transportability measurement).</t>
        </r>
      </text>
    </comment>
    <comment ref="U1" authorId="0">
      <text>
        <r>
          <rPr>
            <rFont val="Aptos Narrow"/>
            <b/>
            <color rgb="FFFFFFFF"/>
            <sz val="11"/>
          </rPr>
          <t>Derived: fraction of re-tests that were concordant (guarded division).</t>
        </r>
      </text>
    </comment>
    <comment ref="V1" authorId="0">
      <text>
        <r>
          <rPr>
            <rFont val="Aptos Narrow"/>
            <b/>
            <color rgb="FFFFFFFF"/>
            <sz val="11"/>
          </rPr>
          <t>Derived: &gt;=2 independent re-tests and &gt;=2 concordant.</t>
        </r>
      </text>
    </comment>
    <comment ref="W1" authorId="0">
      <text>
        <r>
          <rPr>
            <rFont val="Aptos Narrow"/>
            <b/>
            <color rgb="FFFFFFFF"/>
            <sz val="11"/>
          </rPr>
          <t>Negative-control tests run on this mechanism.</t>
        </r>
      </text>
    </comment>
    <comment ref="X1" authorId="0">
      <text>
        <r>
          <rPr>
            <rFont val="Aptos Narrow"/>
            <b/>
            <color rgb="FFFFFFFF"/>
            <sz val="11"/>
          </rPr>
          <t>Negative-control tests the mechanism survived (collapsed under the null).</t>
        </r>
      </text>
    </comment>
    <comment ref="Y1" authorId="0">
      <text>
        <r>
          <rPr>
            <rFont val="Aptos Narrow"/>
            <b/>
            <color rgb="FFFFFFFF"/>
            <sz val="11"/>
          </rPr>
          <t>Derived: at least one control run AND all of them survived.</t>
        </r>
      </text>
    </comment>
    <comment ref="Z1" authorId="0">
      <text>
        <r>
          <rPr>
            <rFont val="Aptos Narrow"/>
            <b/>
            <color rgb="FFFFFFFF"/>
            <sz val="11"/>
          </rPr>
          <t>Derived: spurious unless replicated, survives controls, has &gt;=2 modalities, and is not purely pleiotropic.</t>
        </r>
      </text>
    </comment>
    <comment ref="AA1" authorId="0">
      <text>
        <r>
          <rPr>
            <rFont val="Aptos Narrow"/>
            <b/>
            <color rgb="FFFFFFFF"/>
            <sz val="11"/>
          </rPr>
          <t>Derived bounded blend of qualified-evidence count, modality breadth, replication rate, and control survival.</t>
        </r>
      </text>
    </comment>
    <comment ref="AB1" authorId="0">
      <text>
        <r>
          <rPr>
            <rFont val="Aptos Narrow"/>
            <b/>
            <color rgb="FFFFFFFF"/>
            <sz val="11"/>
          </rPr>
          <t>Whether the linked variant is itself a derived causal candidate (empty-guarded).</t>
        </r>
      </text>
    </comment>
    <comment ref="AC1" authorId="0">
      <text>
        <r>
          <rPr>
            <rFont val="Aptos Narrow"/>
            <b/>
            <color rgb="FFFFFFFF"/>
            <sz val="11"/>
          </rPr>
          <t>Derived: a confirmed causal edge - confident, falsifiable, non-spurious, and grounded in a candidate variant or a real exposure.</t>
        </r>
      </text>
    </comment>
    <comment ref="AD1" authorId="0">
      <text>
        <r>
          <rPr>
            <rFont val="Aptos Narrow"/>
            <b/>
            <color rgb="FFFFFFFF"/>
            <sz val="11"/>
          </rPr>
          <t>Derived: a confirmed node whose effect replicated in &gt;=1 different ancestry (measured invariance).</t>
        </r>
      </text>
    </comment>
    <comment ref="AE1" authorId="0">
      <text>
        <r>
          <rPr>
            <rFont val="Aptos Narrow"/>
            <b/>
            <color rgb="FFFFFFFF"/>
            <sz val="11"/>
          </rPr>
          <t>Intervention targets derived from this mechanism.</t>
        </r>
      </text>
    </comment>
    <comment ref="AF1" authorId="0">
      <text>
        <r>
          <rPr>
            <rFont val="Aptos Narrow"/>
            <b/>
            <color rgb="FFFFFFFF"/>
            <sz val="11"/>
          </rPr>
          <t>Evidence items supporting this mechanism.</t>
        </r>
      </text>
    </comment>
    <comment ref="AG1" authorId="0">
      <text>
        <r>
          <rPr>
            <rFont val="Aptos Narrow"/>
            <b/>
            <color rgb="FFFFFFFF"/>
            <sz val="11"/>
          </rPr>
          <t>Cross-cohort replications of this mechanism.</t>
        </r>
      </text>
    </comment>
    <comment ref="AH1" authorId="0">
      <text>
        <r>
          <rPr>
            <rFont val="Aptos Narrow"/>
            <b/>
            <color rgb="FFFFFFFF"/>
            <sz val="11"/>
          </rPr>
          <t>Negative-control tests on this mechanism.</t>
        </r>
      </text>
    </comment>
    <comment ref="B1" authorId="0">
      <text>
        <r>
          <rPr>
            <rFont val="Aptos Narrow"/>
            <b/>
            <color rgb="FFFFFFFF"/>
            <sz val="11"/>
          </rPr>
          <t>Human-readable mechanism description.</t>
        </r>
      </text>
    </comment>
  </commentList>
</comments>
</file>

<file path=xl/comments1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epistatic interaction.</t>
        </r>
      </text>
    </comment>
    <comment ref="C1" authorId="0">
      <text>
        <r>
          <rPr>
            <rFont val="Aptos Narrow"/>
            <b/>
            <color rgb="FFFFFFFF"/>
            <sz val="11"/>
          </rPr>
          <t>Individual exhibiting interaction.</t>
        </r>
      </text>
    </comment>
    <comment ref="D1" authorId="0">
      <text>
        <r>
          <rPr>
            <rFont val="Aptos Narrow"/>
            <b/>
            <color rgb="FFFFFFFF"/>
            <sz val="11"/>
          </rPr>
          <t>First variant in interaction.</t>
        </r>
      </text>
    </comment>
    <comment ref="E1" authorId="0">
      <text>
        <r>
          <rPr>
            <rFont val="Aptos Narrow"/>
            <b/>
            <color rgb="FFFFFFFF"/>
            <sz val="11"/>
          </rPr>
          <t>Second variant in interaction.</t>
        </r>
      </text>
    </comment>
    <comment ref="F1" authorId="0">
      <text>
        <r>
          <rPr>
            <rFont val="Aptos Narrow"/>
            <b/>
            <color rgb="FFFFFFFF"/>
            <sz val="11"/>
          </rPr>
          <t>Higher-order epistasis effect score (0-1).</t>
        </r>
      </text>
    </comment>
    <comment ref="G1" authorId="0">
      <text>
        <r>
          <rPr>
            <rFont val="Aptos Narrow"/>
            <b/>
            <color rgb="FFFFFFFF"/>
            <sz val="11"/>
          </rPr>
          <t>True when interaction shows pleiotropy.</t>
        </r>
      </text>
    </comment>
    <comment ref="H1" authorId="0">
      <text>
        <r>
          <rPr>
            <rFont val="Aptos Narrow"/>
            <b/>
            <color rgb="FFFFFFFF"/>
            <sz val="11"/>
          </rPr>
          <t>Display label.</t>
        </r>
      </text>
    </comment>
    <comment ref="I1" authorId="0">
      <text>
        <r>
          <rPr>
            <rFont val="Aptos Narrow"/>
            <b/>
            <color rgb="FFFFFFFF"/>
            <sz val="11"/>
          </rPr>
          <t>Lookup: Individuals.RelativePath via Individual — used to chain this entity's path under its parent.</t>
        </r>
      </text>
    </comment>
    <comment ref="J1" authorId="0">
      <text>
        <r>
          <rPr>
            <rFont val="Aptos Narrow"/>
            <b/>
            <color rgb="FFFFFFFF"/>
            <sz val="11"/>
          </rPr>
          <t>Path to this EpistaticInteraction page, chained under its Individual parent.</t>
        </r>
      </text>
    </comment>
    <comment ref="K1" authorId="0">
      <text>
        <r>
          <rPr>
            <rFont val="Aptos Narrow"/>
            <b/>
            <color rgb="FFFFFFFF"/>
            <sz val="11"/>
          </rPr>
          <t>True when epistasis score exceeds 0.5.</t>
        </r>
      </text>
    </comment>
    <comment ref="B1" authorId="0">
      <text>
        <r>
          <rPr>
            <rFont val="Aptos Narrow"/>
            <b/>
            <color rgb="FFFFFFFF"/>
            <sz val="11"/>
          </rPr>
          <t>Human-readable interaction label.</t>
        </r>
      </text>
    </comment>
  </commentList>
</comments>
</file>

<file path=xl/comments1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counterfactual trajectory.</t>
        </r>
      </text>
    </comment>
    <comment ref="C1" authorId="0">
      <text>
        <r>
          <rPr>
            <rFont val="Aptos Narrow"/>
            <b/>
            <color rgb="FFFFFFFF"/>
            <sz val="11"/>
          </rPr>
          <t>Individual whose trajectory is modeled.</t>
        </r>
      </text>
    </comment>
    <comment ref="D1" authorId="0">
      <text>
        <r>
          <rPr>
            <rFont val="Aptos Narrow"/>
            <b/>
            <color rgb="FFFFFFFF"/>
            <sz val="11"/>
          </rPr>
          <t>Target autoimmune disease.</t>
        </r>
      </text>
    </comment>
    <comment ref="E1" authorId="0">
      <text>
        <r>
          <rPr>
            <rFont val="Aptos Narrow"/>
            <b/>
            <color rgb="FFFFFFFF"/>
            <sz val="11"/>
          </rPr>
          <t>Projected severity under counterfactual (0-10).</t>
        </r>
      </text>
    </comment>
    <comment ref="F1" authorId="0">
      <text>
        <r>
          <rPr>
            <rFont val="Aptos Narrow"/>
            <b/>
            <color rgb="FFFFFFFF"/>
            <sz val="11"/>
          </rPr>
          <t>Prediction horizon in months.</t>
        </r>
      </text>
    </comment>
    <comment ref="G1" authorId="0">
      <text>
        <r>
          <rPr>
            <rFont val="Aptos Narrow"/>
            <b/>
            <color rgb="FFFFFFFF"/>
            <sz val="11"/>
          </rPr>
          <t>Hypothetical intervention (empty = no treatment).</t>
        </r>
      </text>
    </comment>
    <comment ref="H1" authorId="0">
      <text>
        <r>
          <rPr>
            <rFont val="Aptos Narrow"/>
            <b/>
            <color rgb="FFFFFFFF"/>
            <sz val="11"/>
          </rPr>
          <t>Display label.</t>
        </r>
      </text>
    </comment>
    <comment ref="I1" authorId="0">
      <text>
        <r>
          <rPr>
            <rFont val="Aptos Narrow"/>
            <b/>
            <color rgb="FFFFFFFF"/>
            <sz val="11"/>
          </rPr>
          <t>Lookup: Individuals.RelativePath via Individual — used to chain this entity's path under its parent.</t>
        </r>
      </text>
    </comment>
    <comment ref="J1" authorId="0">
      <text>
        <r>
          <rPr>
            <rFont val="Aptos Narrow"/>
            <b/>
            <color rgb="FFFFFFFF"/>
            <sz val="11"/>
          </rPr>
          <t>Path to this CounterfactualTrajectorie page, chained under its Individual parent.</t>
        </r>
      </text>
    </comment>
    <comment ref="K1" authorId="0">
      <text>
        <r>
          <rPr>
            <rFont val="Aptos Narrow"/>
            <b/>
            <color rgb="FFFFFFFF"/>
            <sz val="11"/>
          </rPr>
          <t>Disease label lookup.</t>
        </r>
      </text>
    </comment>
    <comment ref="L1" authorId="0">
      <text>
        <r>
          <rPr>
            <rFont val="Aptos Narrow"/>
            <b/>
            <color rgb="FFFFFFFF"/>
            <sz val="11"/>
          </rPr>
          <t>True when projected severity exceeds 7.</t>
        </r>
      </text>
    </comment>
    <comment ref="B1" authorId="0">
      <text>
        <r>
          <rPr>
            <rFont val="Aptos Narrow"/>
            <b/>
            <color rgb="FFFFFFFF"/>
            <sz val="11"/>
          </rPr>
          <t>Description of hypothetical scenario.</t>
        </r>
      </text>
    </comment>
  </commentList>
</comments>
</file>

<file path=xl/comments1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prediction record.</t>
        </r>
      </text>
    </comment>
    <comment ref="C1" authorId="0">
      <text>
        <r>
          <rPr>
            <rFont val="Aptos Narrow"/>
            <b/>
            <color rgb="FFFFFFFF"/>
            <sz val="11"/>
          </rPr>
          <t>Individual predicted.</t>
        </r>
      </text>
    </comment>
    <comment ref="D1" authorId="0">
      <text>
        <r>
          <rPr>
            <rFont val="Aptos Narrow"/>
            <b/>
            <color rgb="FFFFFFFF"/>
            <sz val="11"/>
          </rPr>
          <t>Target autoimmune disease.</t>
        </r>
      </text>
    </comment>
    <comment ref="E1" authorId="0">
      <text>
        <r>
          <rPr>
            <rFont val="Aptos Narrow"/>
            <b/>
            <color rgb="FFFFFFFF"/>
            <sz val="11"/>
          </rPr>
          <t>Onset, Severity, TreatmentResponse, or AdverseEffect.</t>
        </r>
      </text>
    </comment>
    <comment ref="F1" authorId="0">
      <text>
        <r>
          <rPr>
            <rFont val="Aptos Narrow"/>
            <b/>
            <color rgb="FFFFFFFF"/>
            <sz val="11"/>
          </rPr>
          <t>Display label.</t>
        </r>
      </text>
    </comment>
    <comment ref="G1" authorId="0">
      <text>
        <r>
          <rPr>
            <rFont val="Aptos Narrow"/>
            <b/>
            <color rgb="FFFFFFFF"/>
            <sz val="11"/>
          </rPr>
          <t>Lookup: Individuals.RelativePath via Individual — used to chain this entity's path under its parent.</t>
        </r>
      </text>
    </comment>
    <comment ref="H1" authorId="0">
      <text>
        <r>
          <rPr>
            <rFont val="Aptos Narrow"/>
            <b/>
            <color rgb="FFFFFFFF"/>
            <sz val="11"/>
          </rPr>
          <t>Path to this IndividualPrediction page, chained under its Individual parent.</t>
        </r>
      </text>
    </comment>
    <comment ref="I1" authorId="0">
      <text>
        <r>
          <rPr>
            <rFont val="Aptos Narrow"/>
            <b/>
            <color rgb="FFFFFFFF"/>
            <sz val="11"/>
          </rPr>
          <t>Ancestry for equity audit.</t>
        </r>
      </text>
    </comment>
    <comment ref="J1" authorId="0">
      <text>
        <r>
          <rPr>
            <rFont val="Aptos Narrow"/>
            <b/>
            <color rgb="FFFFFFFF"/>
            <sz val="11"/>
          </rPr>
          <t>True when individual ancestry absent from training.</t>
        </r>
      </text>
    </comment>
    <comment ref="K1" authorId="0">
      <text>
        <r>
          <rPr>
            <rFont val="Aptos Narrow"/>
            <b/>
            <color rgb="FFFFFFFF"/>
            <sz val="11"/>
          </rPr>
          <t>Summed confirmed causal confidence for this individual (empty-guarded).</t>
        </r>
      </text>
    </comment>
    <comment ref="L1" authorId="0">
      <text>
        <r>
          <rPr>
            <rFont val="Aptos Narrow"/>
            <b/>
            <color rgb="FFFFFFFF"/>
            <sz val="11"/>
          </rPr>
          <t>Count of this individual's confirmed causal nodes (empty-guarded).</t>
        </r>
      </text>
    </comment>
    <comment ref="M1" authorId="0">
      <text>
        <r>
          <rPr>
            <rFont val="Aptos Narrow"/>
            <b/>
            <color rgb="FFFFFFFF"/>
            <sz val="11"/>
          </rPr>
          <t>Count of this individual's cross-ancestry-replicated confirmed nodes (empty-guarded).</t>
        </r>
      </text>
    </comment>
    <comment ref="N1" authorId="0">
      <text>
        <r>
          <rPr>
            <rFont val="Aptos Narrow"/>
            <b/>
            <color rgb="FFFFFFFF"/>
            <sz val="11"/>
          </rPr>
          <t>Whether this individual carries a cryptic-relatedness leakage flag (empty-guarded).</t>
        </r>
      </text>
    </comment>
    <comment ref="O1" authorId="0">
      <text>
        <r>
          <rPr>
            <rFont val="Aptos Narrow"/>
            <b/>
            <color rgb="FFFFFFFF"/>
            <sz val="11"/>
          </rPr>
          <t>This individual's max clinical SeverityScore (empty-guarded).</t>
        </r>
      </text>
    </comment>
    <comment ref="P1" authorId="0">
      <text>
        <r>
          <rPr>
            <rFont val="Aptos Narrow"/>
            <b/>
            <color rgb="FFFFFFFF"/>
            <sz val="11"/>
          </rPr>
          <t>Whether this individual has a high-severity phenotype (empty-guarded).</t>
        </r>
      </text>
    </comment>
    <comment ref="Q1" authorId="0">
      <text>
        <r>
          <rPr>
            <rFont val="Aptos Narrow"/>
            <b/>
            <color rgb="FFFFFFFF"/>
            <sz val="11"/>
          </rPr>
          <t>Whether this individual has a treatment predicted to respond (empty-guarded).</t>
        </r>
      </text>
    </comment>
    <comment ref="R1" authorId="0">
      <text>
        <r>
          <rPr>
            <rFont val="Aptos Narrow"/>
            <b/>
            <color rgb="FFFFFFFF"/>
            <sz val="11"/>
          </rPr>
          <t>Derived risk magnitude (0-10), a monotone function of validated causal mass only - rides mechanism, not ancestry correlation.</t>
        </r>
      </text>
    </comment>
    <comment ref="S1" authorId="0">
      <text>
        <r>
          <rPr>
            <rFont val="Aptos Narrow"/>
            <b/>
            <color rgb="FFFFFFFF"/>
            <sz val="11"/>
          </rPr>
          <t>Total reliability bins for this prediction.</t>
        </r>
      </text>
    </comment>
    <comment ref="T1" authorId="0">
      <text>
        <r>
          <rPr>
            <rFont val="Aptos Narrow"/>
            <b/>
            <color rgb="FFFFFFFF"/>
            <sz val="11"/>
          </rPr>
          <t>Bins passing coverage and accuracy.</t>
        </r>
      </text>
    </comment>
    <comment ref="U1" authorId="0">
      <text>
        <r>
          <rPr>
            <rFont val="Aptos Narrow"/>
            <b/>
            <color rgb="FFFFFFFF"/>
            <sz val="11"/>
          </rPr>
          <t>Summed reliability gap across this prediction's bins.</t>
        </r>
      </text>
    </comment>
    <comment ref="V1" authorId="0">
      <text>
        <r>
          <rPr>
            <rFont val="Aptos Narrow"/>
            <b/>
            <color rgb="FFFFFFFF"/>
            <sz val="11"/>
          </rPr>
          <t>Derived mean reliability gap; defaults to 1 (worst) when no bins exist.</t>
        </r>
      </text>
    </comment>
    <comment ref="W1" authorId="0">
      <text>
        <r>
          <rPr>
            <rFont val="Aptos Narrow"/>
            <b/>
            <color rgb="FFFFFFFF"/>
            <sz val="11"/>
          </rPr>
          <t>Derived fraction of trustworthy bins (guarded division).</t>
        </r>
      </text>
    </comment>
    <comment ref="X1" authorId="0">
      <text>
        <r>
          <rPr>
            <rFont val="Aptos Narrow"/>
            <b/>
            <color rgb="FFFFFFFF"/>
            <sz val="11"/>
          </rPr>
          <t>Derived reliability (HIGH = trustworthy): (1 - mean gap) scaled by well-covered-bin fraction; 0 for uncovered predictions.</t>
        </r>
      </text>
    </comment>
    <comment ref="Y1" authorId="0">
      <text>
        <r>
          <rPr>
            <rFont val="Aptos Narrow"/>
            <b/>
            <color rgb="FFFFFFFF"/>
            <sz val="11"/>
          </rPr>
          <t>Derived: grounded in &gt;=1 validated mechanism.</t>
        </r>
      </text>
    </comment>
    <comment ref="Z1" authorId="0">
      <text>
        <r>
          <rPr>
            <rFont val="Aptos Narrow"/>
            <b/>
            <color rgb="FFFFFFFF"/>
            <sz val="11"/>
          </rPr>
          <t>Derived: spurious if no validated mechanism OR cryptic-relatedness leakage.</t>
        </r>
      </text>
    </comment>
    <comment ref="AA1" authorId="0">
      <text>
        <r>
          <rPr>
            <rFont val="Aptos Narrow"/>
            <b/>
            <color rgb="FFFFFFFF"/>
            <sz val="11"/>
          </rPr>
          <t>Derived: inherits falsifiability - every confirmed node required IsExperimentallyFalsifiable.</t>
        </r>
      </text>
    </comment>
    <comment ref="AB1" authorId="0">
      <text>
        <r>
          <rPr>
            <rFont val="Aptos Narrow"/>
            <b/>
            <color rgb="FFFFFFFF"/>
            <sz val="11"/>
          </rPr>
          <t>Derived: a holdout individual is transportable only with &gt;=1 cross-ancestry-replicated node and no spurious flag.</t>
        </r>
      </text>
    </comment>
    <comment ref="AC1" authorId="0">
      <text>
        <r>
          <rPr>
            <rFont val="Aptos Narrow"/>
            <b/>
            <color rgb="FFFFFFFF"/>
            <sz val="11"/>
          </rPr>
          <t>Derived: holdout requires measured transport; in-training is vacuously safe.</t>
        </r>
      </text>
    </comment>
    <comment ref="AD1" authorId="0">
      <text>
        <r>
          <rPr>
            <rFont val="Aptos Narrow"/>
            <b/>
            <color rgb="FFFFFFFF"/>
            <sz val="11"/>
          </rPr>
          <t>RENDER ONLY (does NOT feed the keystone): honest three-state view of the transport gate so a vacuous in-training pass is never shown as evidentiary. NotApplicable = in-training ancestry (gate did not bite); PASS-tested = holdout with a confirmed cross-ancestry transport; FAIL = holdout without one. Sits beside IsAncestryTransportSafe (which the keystone still reads) purely to keep the writeup from implying transport evidence it never used.</t>
        </r>
      </text>
    </comment>
    <comment ref="AE1" authorId="0">
      <text>
        <r>
          <rPr>
            <rFont val="Aptos Narrow"/>
            <b/>
            <color rgb="FFFFFFFF"/>
            <sz val="11"/>
          </rPr>
          <t>Derived: calibrated AND not spurious.</t>
        </r>
      </text>
    </comment>
    <comment ref="AF1" authorId="0">
      <text>
        <r>
          <rPr>
            <rFont val="Aptos Narrow"/>
            <b/>
            <color rgb="FFFFFFFF"/>
            <sz val="11"/>
          </rPr>
          <t>Derived risk tier from the derived PredictedValue.</t>
        </r>
      </text>
    </comment>
    <comment ref="AG1" authorId="0">
      <text>
        <r>
          <rPr>
            <rFont val="Aptos Narrow"/>
            <b/>
            <color rgb="FFFFFFFF"/>
            <sz val="11"/>
          </rPr>
          <t>Derived severity prediction grounded in the individual's max clinical SeverityScore.</t>
        </r>
      </text>
    </comment>
    <comment ref="AH1" authorId="0">
      <text>
        <r>
          <rPr>
            <rFont val="Aptos Narrow"/>
            <b/>
            <color rgb="FFFFFFFF"/>
            <sz val="11"/>
          </rPr>
          <t>Derived severity band from the predicted severity value.</t>
        </r>
      </text>
    </comment>
    <comment ref="AI1" authorId="0">
      <text>
        <r>
          <rPr>
            <rFont val="Aptos Narrow"/>
            <b/>
            <color rgb="FFFFFFFF"/>
            <sz val="11"/>
          </rPr>
          <t>Derived: a high-severity phenotype on a confirmed, non-spurious mechanism. Chained to the onset gates so severity can never be actionable on a debunked mechanism.</t>
        </r>
      </text>
    </comment>
    <comment ref="AJ1" authorId="0">
      <text>
        <r>
          <rPr>
            <rFont val="Aptos Narrow"/>
            <b/>
            <color rgb="FFFFFFFF"/>
            <sz val="11"/>
          </rPr>
          <t>Why severity is/ isn't actionable — the single deciding reason.</t>
        </r>
      </text>
    </comment>
    <comment ref="AK1" authorId="0">
      <text>
        <r>
          <rPr>
            <rFont val="Aptos Narrow"/>
            <b/>
            <color rgb="FFFFFFFF"/>
            <sz val="11"/>
          </rPr>
          <t>Derived: the individual has a treatment predicted to respond (effective therapy on a confirmed mechanism). The third prediction type — independent of onset/severity.</t>
        </r>
      </text>
    </comment>
    <comment ref="AL1" authorId="0">
      <text>
        <r>
          <rPr>
            <rFont val="Aptos Narrow"/>
            <b/>
            <color rgb="FFFFFFFF"/>
            <sz val="11"/>
          </rPr>
          <t>Why treatment-response is/ isn't actionable for this individual.</t>
        </r>
      </text>
    </comment>
    <comment ref="AM1" authorId="0">
      <text>
        <r>
          <rPr>
            <rFont val="Aptos Narrow"/>
            <b/>
            <color rgb="FFFFFFFF"/>
            <sz val="11"/>
          </rPr>
          <t>KEYSTONE: TRUE only when the prediction is high-confidence (calibrated + not spurious), falsifiability-backed, ancestry-transport-safe, and rests on a non-null derived magnitude.</t>
        </r>
      </text>
    </comment>
    <comment ref="AN1" authorId="0">
      <text>
        <r>
          <rPr>
            <rFont val="Aptos Narrow"/>
            <b/>
            <color rgb="FFFFFFFF"/>
            <sz val="11"/>
          </rPr>
          <t>DERIVED current lifecycle state (never entered): the single deciding gate determines whether the case lands on Actionable or NotActionable. Subject-state column of the diagnosis-lifecycle machine.</t>
        </r>
      </text>
    </comment>
    <comment ref="AO1" authorId="0">
      <text>
        <r>
          <rPr>
            <rFont val="Aptos Narrow"/>
            <b/>
            <color rgb="FFFFFFFF"/>
            <sz val="11"/>
          </rPr>
          <t>DERIVED single primary deciding gate (never entered), named in keystone-AND priority order. 'AllGatesPass' when actionable. When the case rests on no validated mechanism (no confirmed causal node), Falsifiability, Confidence, and Magnitude are one and the same finding, reported as 'NoValidatedMechanism' rather than split across three gates. Otherwise the lone failing gate is named: CrypticRelatedness, Calibration, AncestryTransport.</t>
        </r>
      </text>
    </comment>
    <comment ref="AP1" authorId="0">
      <text>
        <r>
          <rPr>
            <rFont val="Aptos Narrow"/>
            <b/>
            <color rgb="FFFFFFFF"/>
            <sz val="11"/>
          </rPr>
          <t>Reliability bins for this prediction.</t>
        </r>
      </text>
    </comment>
    <comment ref="AQ1" authorId="0">
      <text>
        <r>
          <rPr>
            <rFont val="Aptos Narrow"/>
            <b/>
            <color rgb="FFFFFFFF"/>
            <sz val="11"/>
          </rPr>
          <t>TargetPathway resolved on the individual (decoded from the mechanism).</t>
        </r>
      </text>
    </comment>
    <comment ref="AR1" authorId="0">
      <text>
        <r>
          <rPr>
            <rFont val="Aptos Narrow"/>
            <b/>
            <color rgb="FFFFFFFF"/>
            <sz val="11"/>
          </rPr>
          <t>Lookup: the individual's derived disease state.</t>
        </r>
      </text>
    </comment>
    <comment ref="AS1" authorId="0">
      <text>
        <r>
          <rPr>
            <rFont val="Aptos Narrow"/>
            <b/>
            <color rgb="FFFFFFFF"/>
            <sz val="11"/>
          </rPr>
          <t>Lookup: is the individual's disease progressing (simulator).</t>
        </r>
      </text>
    </comment>
    <comment ref="AT1" authorId="0">
      <text>
        <r>
          <rPr>
            <rFont val="Aptos Narrow"/>
            <b/>
            <color rgb="FFFFFFFF"/>
            <sz val="11"/>
          </rPr>
          <t>DERIVED treatment-line recommendation from confirmed-mechanism TargetPathway + disease state. The audit's MMF/belimumab/anifrolumab example.</t>
        </r>
      </text>
    </comment>
    <comment ref="AU1" authorId="0">
      <text>
        <r>
          <rPr>
            <rFont val="Aptos Narrow"/>
            <b/>
            <color rgb="FFFFFFFF"/>
            <sz val="11"/>
          </rPr>
          <t>The single deciding reason for the recommended line (mirrors DecidingGate style).</t>
        </r>
      </text>
    </comment>
    <comment ref="AV1" authorId="0">
      <text>
        <r>
          <rPr>
            <rFont val="Aptos Narrow"/>
            <b/>
            <color rgb="FFFFFFFF"/>
            <sz val="11"/>
          </rPr>
          <t>THE COUNTER-EXAMPLE FLAG: TRUE when disease is progressing (simulator) but the prediction is NOT clinically actionable (gate). Proves the two layers are independent.</t>
        </r>
      </text>
    </comment>
    <comment ref="B1" authorId="0">
      <text>
        <r>
          <rPr>
            <rFont val="Aptos Narrow"/>
            <b/>
            <color rgb="FFFFFFFF"/>
            <sz val="11"/>
          </rPr>
          <t>Prediction type label.</t>
        </r>
      </text>
    </comment>
  </commentList>
</comments>
</file>

<file path=xl/comments2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bin.</t>
        </r>
      </text>
    </comment>
    <comment ref="C1" authorId="0">
      <text>
        <r>
          <rPr>
            <rFont val="Aptos Narrow"/>
            <b/>
            <color rgb="FFFFFFFF"/>
            <sz val="11"/>
          </rPr>
          <t>FK to the prediction this bin calibrates.</t>
        </r>
      </text>
    </comment>
    <comment ref="D1" authorId="0">
      <text>
        <r>
          <rPr>
            <rFont val="Aptos Narrow"/>
            <b/>
            <color rgb="FFFFFFFF"/>
            <sz val="11"/>
          </rPr>
          <t>OBSERVATION: predicted-probability midpoint of this bin (0-1).</t>
        </r>
      </text>
    </comment>
    <comment ref="E1" authorId="0">
      <text>
        <r>
          <rPr>
            <rFont val="Aptos Narrow"/>
            <b/>
            <color rgb="FFFFFFFF"/>
            <sz val="11"/>
          </rPr>
          <t>OBSERVATION: empirical event rate among held-out cases in this band, matched to this individual's ancestry x disease.</t>
        </r>
      </text>
    </comment>
    <comment ref="F1" authorId="0">
      <text>
        <r>
          <rPr>
            <rFont val="Aptos Narrow"/>
            <b/>
            <color rgb="FFFFFFFF"/>
            <sz val="11"/>
          </rPr>
          <t>OBSERVATION: number of held-out outcomes in this band for this ancestry x disease.</t>
        </r>
      </text>
    </comment>
    <comment ref="G1" authorId="0">
      <text>
        <r>
          <rPr>
            <rFont val="Aptos Narrow"/>
            <b/>
            <color rgb="FFFFFFFF"/>
            <sz val="11"/>
          </rPr>
          <t>Display name.</t>
        </r>
      </text>
    </comment>
    <comment ref="H1" authorId="0">
      <text>
        <r>
          <rPr>
            <rFont val="Aptos Narrow"/>
            <b/>
            <color rgb="FFFFFFFF"/>
            <sz val="11"/>
          </rPr>
          <t>Lookup: IndividualPredictions.RelativePath via IndividualPrediction — used to chain this entity's path under its parent.</t>
        </r>
      </text>
    </comment>
    <comment ref="I1" authorId="0">
      <text>
        <r>
          <rPr>
            <rFont val="Aptos Narrow"/>
            <b/>
            <color rgb="FFFFFFFF"/>
            <sz val="11"/>
          </rPr>
          <t>Path to this CalibrationBin page, chained under its IndividualPrediction parent.</t>
        </r>
      </text>
    </comment>
    <comment ref="J1" authorId="0">
      <text>
        <r>
          <rPr>
            <rFont val="Aptos Narrow"/>
            <b/>
            <color rgb="FFFFFFFF"/>
            <sz val="11"/>
          </rPr>
          <t>Derived: absolute gap between predicted band and observed rate.</t>
        </r>
      </text>
    </comment>
    <comment ref="K1" authorId="0">
      <text>
        <r>
          <rPr>
            <rFont val="Aptos Narrow"/>
            <b/>
            <color rgb="FFFFFFFF"/>
            <sz val="11"/>
          </rPr>
          <t>Derived: enough held-out coverage AND small reliability gap.</t>
        </r>
      </text>
    </comment>
    <comment ref="L1" authorId="0">
      <text>
        <r>
          <rPr>
            <rFont val="Aptos Narrow"/>
            <b/>
            <color rgb="FFFFFFFF"/>
            <sz val="11"/>
          </rPr>
          <t>PANEL 2-&gt;1 provenance pointer (raw leaf, read by nothing downstream): the literal span of the patient's CaseNarrative from which this calibration bin's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2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intervention target.</t>
        </r>
      </text>
    </comment>
    <comment ref="C1" authorId="0">
      <text>
        <r>
          <rPr>
            <rFont val="Aptos Narrow"/>
            <b/>
            <color rgb="FFFFFFFF"/>
            <sz val="11"/>
          </rPr>
          <t>Parent causal mechanism.</t>
        </r>
      </text>
    </comment>
    <comment ref="D1" authorId="0">
      <text>
        <r>
          <rPr>
            <rFont val="Aptos Narrow"/>
            <b/>
            <color rgb="FFFFFFFF"/>
            <sz val="11"/>
          </rPr>
          <t>Target autoimmune disease.</t>
        </r>
      </text>
    </comment>
    <comment ref="E1" authorId="0">
      <text>
        <r>
          <rPr>
            <rFont val="Aptos Narrow"/>
            <b/>
            <color rgb="FFFFFFFF"/>
            <sz val="11"/>
          </rPr>
          <t>Gene-based, Cell-based, or Environmental.</t>
        </r>
      </text>
    </comment>
    <comment ref="F1" authorId="0">
      <text>
        <r>
          <rPr>
            <rFont val="Aptos Narrow"/>
            <b/>
            <color rgb="FFFFFFFF"/>
            <sz val="11"/>
          </rPr>
          <t>True when target is validated for clinical trials.</t>
        </r>
      </text>
    </comment>
    <comment ref="G1" authorId="0">
      <text>
        <r>
          <rPr>
            <rFont val="Aptos Narrow"/>
            <b/>
            <color rgb="FFFFFFFF"/>
            <sz val="11"/>
          </rPr>
          <t>Display label.</t>
        </r>
      </text>
    </comment>
    <comment ref="H1" authorId="0">
      <text>
        <r>
          <rPr>
            <rFont val="Aptos Narrow"/>
            <b/>
            <color rgb="FFFFFFFF"/>
            <sz val="11"/>
          </rPr>
          <t>Lookup: CausalMechanisms.RelativePath via CausalMechanism — used to chain this entity's path under its parent.</t>
        </r>
      </text>
    </comment>
    <comment ref="I1" authorId="0">
      <text>
        <r>
          <rPr>
            <rFont val="Aptos Narrow"/>
            <b/>
            <color rgb="FFFFFFFF"/>
            <sz val="11"/>
          </rPr>
          <t>Path to this InterventionTarget page, chained under its CausalMechanism parent.</t>
        </r>
      </text>
    </comment>
    <comment ref="J1" authorId="0">
      <text>
        <r>
          <rPr>
            <rFont val="Aptos Narrow"/>
            <b/>
            <color rgb="FFFFFFFF"/>
            <sz val="11"/>
          </rPr>
          <t>Mechanism label lookup.</t>
        </r>
      </text>
    </comment>
    <comment ref="K1" authorId="0">
      <text>
        <r>
          <rPr>
            <rFont val="Aptos Narrow"/>
            <b/>
            <color rgb="FFFFFFFF"/>
            <sz val="11"/>
          </rPr>
          <t>True when therapy class is gene-based.</t>
        </r>
      </text>
    </comment>
    <comment ref="L1" authorId="0">
      <text>
        <r>
          <rPr>
            <rFont val="Aptos Narrow"/>
            <b/>
            <color rgb="FFFFFFFF"/>
            <sz val="11"/>
          </rPr>
          <t>True when therapy class is cell-based.</t>
        </r>
      </text>
    </comment>
    <comment ref="B1" authorId="0">
      <text>
        <r>
          <rPr>
            <rFont val="Aptos Narrow"/>
            <b/>
            <color rgb="FFFFFFFF"/>
            <sz val="11"/>
          </rPr>
          <t>Target name (gene, pathway, cell type).</t>
        </r>
      </text>
    </comment>
  </commentList>
</comments>
</file>

<file path=xl/comments2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the axiom.</t>
        </r>
      </text>
    </comment>
    <comment ref="C1" authorId="0">
      <text>
        <r>
          <rPr>
            <rFont val="Aptos Narrow"/>
            <b/>
            <color rgb="FFFFFFFF"/>
            <sz val="11"/>
          </rPr>
          <t>Why this must hold / what it defends against.</t>
        </r>
      </text>
    </comment>
    <comment ref="D1" authorId="0">
      <text>
        <r>
          <rPr>
            <rFont val="Aptos Narrow"/>
            <b/>
            <color rgb="FFFFFFFF"/>
            <sz val="11"/>
          </rPr>
          <t>Grouping: trust-boundary | solve-by-inference | knob | witness | scope | report-derivation.</t>
        </r>
      </text>
    </comment>
    <comment ref="E1" authorId="0">
      <text>
        <r>
          <rPr>
            <rFont val="Aptos Narrow"/>
            <b/>
            <color rgb="FFFFFFFF"/>
            <sz val="11"/>
          </rPr>
          <t>Display label.</t>
        </r>
      </text>
    </comment>
    <comment ref="F1" authorId="0">
      <text>
        <r>
          <rPr>
            <rFont val="Aptos Narrow"/>
            <b/>
            <color rgb="FFFFFFFF"/>
            <sz val="11"/>
          </rPr>
          <t>Path to this Axioms entry: /admin/axioms/&lt;id&gt;.</t>
        </r>
      </text>
    </comment>
    <comment ref="B1" authorId="0">
      <text>
        <r>
          <rPr>
            <rFont val="Aptos Narrow"/>
            <b/>
            <color rgb="FFFFFFFF"/>
            <sz val="11"/>
          </rPr>
          <t>The invariant, stated as a rule.</t>
        </r>
      </text>
    </comment>
  </commentList>
</comments>
</file>

<file path=xl/comments2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How a human/expert confirms it without trusting the code.</t>
        </r>
      </text>
    </comment>
    <comment ref="D1" authorId="0">
      <text>
        <r>
          <rPr>
            <rFont val="Aptos Narrow"/>
            <b/>
            <color rgb="FFFFFFFF"/>
            <sz val="11"/>
          </rPr>
          <t>Harness file that realizes it, if any.</t>
        </r>
      </text>
    </comment>
    <comment ref="E1" authorId="0">
      <text>
        <r>
          <rPr>
            <rFont val="Aptos Narrow"/>
            <b/>
            <color rgb="FFFFFFFF"/>
            <sz val="11"/>
          </rPr>
          <t>red | green | planned.</t>
        </r>
      </text>
    </comment>
    <comment ref="F1" authorId="0">
      <text>
        <r>
          <rPr>
            <rFont val="Aptos Narrow"/>
            <b/>
            <color rgb="FFFFFFFF"/>
            <sz val="11"/>
          </rPr>
          <t>Display label.</t>
        </r>
      </text>
    </comment>
    <comment ref="G1" authorId="0">
      <text>
        <r>
          <rPr>
            <rFont val="Aptos Narrow"/>
            <b/>
            <color rgb="FFFFFFFF"/>
            <sz val="11"/>
          </rPr>
          <t>Path to this TestsForSuccess entry: /admin/tests-for-success/&lt;id&gt;.</t>
        </r>
      </text>
    </comment>
    <comment ref="B1" authorId="0">
      <text>
        <r>
          <rPr>
            <rFont val="Aptos Narrow"/>
            <b/>
            <color rgb="FFFFFFFF"/>
            <sz val="11"/>
          </rPr>
          <t>The success condition, stated falsifiably.</t>
        </r>
      </text>
    </comment>
  </commentList>
</comments>
</file>

<file path=xl/comments2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Which layer of the platform this belongs to (Keystone / inference DAG, Leaf / LLM surface, Witness / harness, Disease-state simulation, Treatment reasoning, Corpus-level discovery, Reporting, Platform infrastructure).</t>
        </r>
      </text>
    </comment>
    <comment ref="D1" authorId="0">
      <text>
        <r>
          <rPr>
            <rFont val="Aptos Narrow"/>
            <b/>
            <color rgb="FFFFFFFF"/>
            <sz val="11"/>
          </rPr>
          <t>Load-bearing | Supporting | Roadmap.</t>
        </r>
      </text>
    </comment>
    <comment ref="E1" authorId="0">
      <text>
        <r>
          <rPr>
            <rFont val="Aptos Narrow"/>
            <b/>
            <color rgb="FFFFFFFF"/>
            <sz val="11"/>
          </rPr>
          <t>What the capability does (factual, not a pitch).</t>
        </r>
      </text>
    </comment>
    <comment ref="F1" authorId="0">
      <text>
        <r>
          <rPr>
            <rFont val="Aptos Narrow"/>
            <b/>
            <color rgb="FFFFFFFF"/>
            <sz val="11"/>
          </rPr>
          <t>JSON array of provenance pointers into THE-ORIGINAL-CHALLENGE.md. Each: {file,line,col,len,quote,section,relation}. col is the 0-based char offset within the line; len is the quote length; section is prompt|payoff|audit|response; relation is direct|indirect. Drives UI hover tips that highlight the exact span.</t>
        </r>
      </text>
    </comment>
    <comment ref="G1" authorId="0">
      <text>
        <r>
          <rPr>
            <rFont val="Aptos Narrow"/>
            <b/>
            <color rgb="FFFFFFFF"/>
            <sz val="11"/>
          </rPr>
          <t>Pre-flattened Markdown bullet list of ChallengeRefs, so the dumb hbars template can print it verbatim (the engine has no loop-over-JSON helper).</t>
        </r>
      </text>
    </comment>
    <comment ref="H1" authorId="0">
      <text>
        <r>
          <rPr>
            <rFont val="Aptos Narrow"/>
            <b/>
            <color rgb="FFFFFFFF"/>
            <sz val="11"/>
          </rPr>
          <t>Free-form Markdown comment: which challenge elements this relates to (directly or indirectly) and how it is load-bearing or illustrative.</t>
        </r>
      </text>
    </comment>
    <comment ref="I1" authorId="0">
      <text>
        <r>
          <rPr>
            <rFont val="Aptos Narrow"/>
            <b/>
            <color rgb="FFFFFFFF"/>
            <sz val="11"/>
          </rPr>
          <t>Number of challenge refs (carried as raw for display; the hbars engine can't count a JSON string).</t>
        </r>
      </text>
    </comment>
    <comment ref="J1" authorId="0">
      <text>
        <r>
          <rPr>
            <rFont val="Aptos Narrow"/>
            <b/>
            <color rgb="FFFFFFFF"/>
            <sz val="11"/>
          </rPr>
          <t>FK -&gt; EffortlessLoops.EffortlessLoopId; empty if unscheduled.</t>
        </r>
      </text>
    </comment>
    <comment ref="K1" authorId="0">
      <text>
        <r>
          <rPr>
            <rFont val="Aptos Narrow"/>
            <b/>
            <color rgb="FFFFFFFF"/>
            <sz val="11"/>
          </rPr>
          <t>Display label.</t>
        </r>
      </text>
    </comment>
    <comment ref="L1" authorId="0">
      <text>
        <r>
          <rPr>
            <rFont val="Aptos Narrow"/>
            <b/>
            <color rgb="FFFFFFFF"/>
            <sz val="11"/>
          </rPr>
          <t>Path to this Features entry: /admin/features/&lt;id&gt;.</t>
        </r>
      </text>
    </comment>
    <comment ref="M1" authorId="0">
      <text>
        <r>
          <rPr>
            <rFont val="Aptos Narrow"/>
            <b/>
            <color rgb="FFFFFFFF"/>
            <sz val="11"/>
          </rPr>
          <t>One-line meta summary for the catalog (category - priority - ref count).</t>
        </r>
      </text>
    </comment>
    <comment ref="B1" authorId="0">
      <text>
        <r>
          <rPr>
            <rFont val="Aptos Narrow"/>
            <b/>
            <color rgb="FFFFFFFF"/>
            <sz val="11"/>
          </rPr>
          <t>Short feature name.</t>
        </r>
      </text>
    </comment>
  </commentList>
</comments>
</file>

<file path=xl/comments2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One-line factual description of the kind.</t>
        </r>
      </text>
    </comment>
    <comment ref="D1" authorId="0">
      <text>
        <r>
          <rPr>
            <rFont val="Aptos Narrow"/>
            <b/>
            <color rgb="FFFFFFFF"/>
            <sz val="11"/>
          </rPr>
          <t>A concrete field in the model that realizes this kind.</t>
        </r>
      </text>
    </comment>
    <comment ref="E1" authorId="0">
      <text>
        <r>
          <rPr>
            <rFont val="Aptos Narrow"/>
            <b/>
            <color rgb="FFFFFFFF"/>
            <sz val="11"/>
          </rPr>
          <t>How much of it exists (field counts / usage), for honest weight.</t>
        </r>
      </text>
    </comment>
    <comment ref="F1" authorId="0">
      <text>
        <r>
          <rPr>
            <rFont val="Aptos Narrow"/>
            <b/>
            <color rgb="FFFFFFFF"/>
            <sz val="11"/>
          </rPr>
          <t>Live | Partial (Partial = an upstream step is still in flight).</t>
        </r>
      </text>
    </comment>
    <comment ref="G1" authorId="0">
      <text>
        <r>
          <rPr>
            <rFont val="Aptos Narrow"/>
            <b/>
            <color rgb="FFFFFFFF"/>
            <sz val="11"/>
          </rPr>
          <t>Display order in the overview.</t>
        </r>
      </text>
    </comment>
    <comment ref="H1" authorId="0">
      <text>
        <r>
          <rPr>
            <rFont val="Aptos Narrow"/>
            <b/>
            <color rgb="FFFFFFFF"/>
            <sz val="11"/>
          </rPr>
          <t>Display label.</t>
        </r>
      </text>
    </comment>
    <comment ref="I1" authorId="0">
      <text>
        <r>
          <rPr>
            <rFont val="Aptos Narrow"/>
            <b/>
            <color rgb="FFFFFFFF"/>
            <sz val="11"/>
          </rPr>
          <t>Path to this entry: /admin/inference-kinds/&lt;id&gt;.</t>
        </r>
      </text>
    </comment>
    <comment ref="B1" authorId="0">
      <text>
        <r>
          <rPr>
            <rFont val="Aptos Narrow"/>
            <b/>
            <color rgb="FFFFFFFF"/>
            <sz val="11"/>
          </rPr>
          <t>Short name of the inference family.</t>
        </r>
      </text>
    </comment>
  </commentList>
</comments>
</file>

<file path=xl/comments2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Why it is open / what it affects.</t>
        </r>
      </text>
    </comment>
    <comment ref="D1" authorId="0">
      <text>
        <r>
          <rPr>
            <rFont val="Aptos Narrow"/>
            <b/>
            <color rgb="FFFFFFFF"/>
            <sz val="11"/>
          </rPr>
          <t>The decision, once made.</t>
        </r>
      </text>
    </comment>
    <comment ref="E1" authorId="0">
      <text>
        <r>
          <rPr>
            <rFont val="Aptos Narrow"/>
            <b/>
            <color rgb="FFFFFFFF"/>
            <sz val="11"/>
          </rPr>
          <t>TRUE when decided.</t>
        </r>
      </text>
    </comment>
    <comment ref="F1" authorId="0">
      <text>
        <r>
          <rPr>
            <rFont val="Aptos Narrow"/>
            <b/>
            <color rgb="FFFFFFFF"/>
            <sz val="11"/>
          </rPr>
          <t>Display label.</t>
        </r>
      </text>
    </comment>
    <comment ref="G1" authorId="0">
      <text>
        <r>
          <rPr>
            <rFont val="Aptos Narrow"/>
            <b/>
            <color rgb="FFFFFFFF"/>
            <sz val="11"/>
          </rPr>
          <t>Path to this OpenQuestions entry: /admin/open-questions/&lt;id&gt;.</t>
        </r>
      </text>
    </comment>
    <comment ref="B1" authorId="0">
      <text>
        <r>
          <rPr>
            <rFont val="Aptos Narrow"/>
            <b/>
            <color rgb="FFFFFFFF"/>
            <sz val="11"/>
          </rPr>
          <t>The open question.</t>
        </r>
      </text>
    </comment>
  </commentList>
</comments>
</file>

<file path=xl/comments2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Why it is off the keystone path / out of scope.</t>
        </r>
      </text>
    </comment>
    <comment ref="D1" authorId="0">
      <text>
        <r>
          <rPr>
            <rFont val="Aptos Narrow"/>
            <b/>
            <color rgb="FFFFFFFF"/>
            <sz val="11"/>
          </rPr>
          <t>Display label.</t>
        </r>
      </text>
    </comment>
    <comment ref="E1" authorId="0">
      <text>
        <r>
          <rPr>
            <rFont val="Aptos Narrow"/>
            <b/>
            <color rgb="FFFFFFFF"/>
            <sz val="11"/>
          </rPr>
          <t>Path to this NonGoals entry: /admin/non-goals/&lt;id&gt;.</t>
        </r>
      </text>
    </comment>
    <comment ref="B1" authorId="0">
      <text>
        <r>
          <rPr>
            <rFont val="Aptos Narrow"/>
            <b/>
            <color rgb="FFFFFFFF"/>
            <sz val="11"/>
          </rPr>
          <t>What we are deliberately NOT doing.</t>
        </r>
      </text>
    </comment>
  </commentList>
</comments>
</file>

<file path=xl/comments2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What it means here.</t>
        </r>
      </text>
    </comment>
    <comment ref="D1" authorId="0">
      <text>
        <r>
          <rPr>
            <rFont val="Aptos Narrow"/>
            <b/>
            <color rgb="FFFFFFFF"/>
            <sz val="11"/>
          </rPr>
          <t>Display label.</t>
        </r>
      </text>
    </comment>
    <comment ref="E1" authorId="0">
      <text>
        <r>
          <rPr>
            <rFont val="Aptos Narrow"/>
            <b/>
            <color rgb="FFFFFFFF"/>
            <sz val="11"/>
          </rPr>
          <t>Path to this GlossaryTerms entry: /admin/glossary/&lt;id&gt;.</t>
        </r>
      </text>
    </comment>
    <comment ref="B1" authorId="0">
      <text>
        <r>
          <rPr>
            <rFont val="Aptos Narrow"/>
            <b/>
            <color rgb="FFFFFFFF"/>
            <sz val="11"/>
          </rPr>
          <t>The term.</t>
        </r>
      </text>
    </comment>
  </commentList>
</comments>
</file>

<file path=xl/comments2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Loop title.</t>
        </r>
      </text>
    </comment>
    <comment ref="D1" authorId="0">
      <text>
        <r>
          <rPr>
            <rFont val="Aptos Narrow"/>
            <b/>
            <color rgb="FFFFFFFF"/>
            <sz val="11"/>
          </rPr>
          <t>The one coherent rule-change / outcome.</t>
        </r>
      </text>
    </comment>
    <comment ref="E1" authorId="0">
      <text>
        <r>
          <rPr>
            <rFont val="Aptos Narrow"/>
            <b/>
            <color rgb="FFFFFFFF"/>
            <sz val="11"/>
          </rPr>
          <t>done | next | planned | backlog (the raw input that drives Completedness).</t>
        </r>
      </text>
    </comment>
    <comment ref="F1" authorId="0">
      <text>
        <r>
          <rPr>
            <rFont val="Aptos Narrow"/>
            <b/>
            <color rgb="FFFFFFFF"/>
            <sz val="11"/>
          </rPr>
          <t>The rule commit message (or "none — app-only loop").</t>
        </r>
      </text>
    </comment>
    <comment ref="G1" authorId="0">
      <text>
        <r>
          <rPr>
            <rFont val="Aptos Narrow"/>
            <b/>
            <color rgb="FFFFFFFF"/>
            <sz val="11"/>
          </rPr>
          <t>The state commit message.</t>
        </r>
      </text>
    </comment>
    <comment ref="H1" authorId="0">
      <text>
        <r>
          <rPr>
            <rFont val="Aptos Narrow"/>
            <b/>
            <color rgb="FFFFFFFF"/>
            <sz val="11"/>
          </rPr>
          <t>Ordering within the plan.</t>
        </r>
      </text>
    </comment>
    <comment ref="I1" authorId="0">
      <text>
        <r>
          <rPr>
            <rFont val="Aptos Narrow"/>
            <b/>
            <color rgb="FFFFFFFF"/>
            <sz val="11"/>
          </rPr>
          <t>Display label.</t>
        </r>
      </text>
    </comment>
    <comment ref="J1" authorId="0">
      <text>
        <r>
          <rPr>
            <rFont val="Aptos Narrow"/>
            <b/>
            <color rgb="FFFFFFFF"/>
            <sz val="11"/>
          </rPr>
          <t>Path to this EffortlessLoops entry: /admin/effortless-loops/&lt;id&gt;.</t>
        </r>
      </text>
    </comment>
    <comment ref="K1" authorId="0">
      <text>
        <r>
          <rPr>
            <rFont val="Aptos Narrow"/>
            <b/>
            <color rgb="FFFFFFFF"/>
            <sz val="11"/>
          </rPr>
          <t>Normalized status used by the derived plan to decide placement.</t>
        </r>
      </text>
    </comment>
    <comment ref="L1" authorId="0">
      <text>
        <r>
          <rPr>
            <rFont val="Aptos Narrow"/>
            <b/>
            <color rgb="FFFFFFFF"/>
            <sz val="11"/>
          </rPr>
          <t>TRUE for the current "next" loop and anything still planned/backlog (not done).</t>
        </r>
      </text>
    </comment>
    <comment ref="M1" authorId="0">
      <text>
        <r>
          <rPr>
            <rFont val="Aptos Narrow"/>
            <b/>
            <color rgb="FFFFFFFF"/>
            <sz val="11"/>
          </rPr>
          <t>Display badge for the derived plan, e.g. [DONE] / [NEXT] / [PLANNED] / [BACKLOG].</t>
        </r>
      </text>
    </comment>
    <comment ref="N1" authorId="0">
      <text>
        <r>
          <rPr>
            <rFont val="Aptos Narrow"/>
            <b/>
            <color rgb="FFFFFFFF"/>
            <sz val="11"/>
          </rPr>
          <t>Extra plan line: commit messages for done/next loops; empty otherwise.</t>
        </r>
      </text>
    </comment>
    <comment ref="B1" authorId="0">
      <text>
        <r>
          <rPr>
            <rFont val="Aptos Narrow"/>
            <b/>
            <color rgb="FFFFFFFF"/>
            <sz val="11"/>
          </rPr>
          <t>Display number (0, 0.5, 1...).</t>
        </r>
      </text>
    </comment>
  </commentList>
</comments>
</file>

<file path=xl/comments3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for this nav node, e.g. nav-intake-case.</t>
        </r>
      </text>
    </comment>
    <comment ref="C1" authorId="0">
      <text>
        <r>
          <rPr>
            <rFont val="Aptos Narrow"/>
            <b/>
            <color rgb="FFFFFFFF"/>
            <sz val="11"/>
          </rPr>
          <t>Human-readable nav label.</t>
        </r>
      </text>
    </comment>
    <comment ref="D1" authorId="0">
      <text>
        <r>
          <rPr>
            <rFont val="Aptos Narrow"/>
            <b/>
            <color rgb="FFFFFFFF"/>
            <sz val="11"/>
          </rPr>
          <t>URL template, role/workflow-prefixed with :params, e.g. /intake/case/:caseId.</t>
        </r>
      </text>
    </comment>
    <comment ref="E1" authorId="0">
      <text>
        <r>
          <rPr>
            <rFont val="Aptos Narrow"/>
            <b/>
            <color rgb="FFFFFFFF"/>
            <sz val="11"/>
          </rPr>
          <t>What this route shows.</t>
        </r>
      </text>
    </comment>
    <comment ref="F1" authorId="0">
      <text>
        <r>
          <rPr>
            <rFont val="Aptos Narrow"/>
            <b/>
            <color rgb="FFFFFFFF"/>
            <sz val="11"/>
          </rPr>
          <t>Display order within its nav level.</t>
        </r>
      </text>
    </comment>
    <comment ref="G1" authorId="0">
      <text>
        <r>
          <rPr>
            <rFont val="Aptos Narrow"/>
            <b/>
            <color rgb="FFFFFFFF"/>
            <sz val="11"/>
          </rPr>
          <t>RouteKey of the parent nav node (empty for top-level). Self-referential recursion.</t>
        </r>
      </text>
    </comment>
    <comment ref="H1" authorId="0">
      <text>
        <r>
          <rPr>
            <rFont val="Aptos Narrow"/>
            <b/>
            <color rgb="FFFFFFFF"/>
            <sz val="11"/>
          </rPr>
          <t>Stable dot-delimited slug, e.g. diagnosis.case.mechanism.</t>
        </r>
      </text>
    </comment>
    <comment ref="I1" authorId="0">
      <text>
        <r>
          <rPr>
            <rFont val="Aptos Narrow"/>
            <b/>
            <color rgb="FFFFFFFF"/>
            <sz val="11"/>
          </rPr>
          <t>Hierarchy level: top / sub / leaf.</t>
        </r>
      </text>
    </comment>
    <comment ref="J1" authorId="0">
      <text>
        <r>
          <rPr>
            <rFont val="Aptos Narrow"/>
            <b/>
            <color rgb="FFFFFFFF"/>
            <sz val="11"/>
          </rPr>
          <t>CSV of roles that can see this nav item: admin,intake-clinician,diagnosing-doctor,external-llm.</t>
        </r>
      </text>
    </comment>
    <comment ref="K1" authorId="0">
      <text>
        <r>
          <rPr>
            <rFont val="Aptos Narrow"/>
            <b/>
            <color rgb="FFFFFFFF"/>
            <sz val="11"/>
          </rPr>
          <t>Backing table name.</t>
        </r>
      </text>
    </comment>
    <comment ref="L1" authorId="0">
      <text>
        <r>
          <rPr>
            <rFont val="Aptos Narrow"/>
            <b/>
            <color rgb="FFFFFFFF"/>
            <sz val="11"/>
          </rPr>
          <t>Backing vw_* view.</t>
        </r>
      </text>
    </comment>
    <comment ref="M1" authorId="0">
      <text>
        <r>
          <rPr>
            <rFont val="Aptos Narrow"/>
            <b/>
            <color rgb="FFFFFFFF"/>
            <sz val="11"/>
          </rPr>
          <t>Optional icon name for the UI.</t>
        </r>
      </text>
    </comment>
    <comment ref="N1" authorId="0">
      <text>
        <r>
          <rPr>
            <rFont val="Aptos Narrow"/>
            <b/>
            <color rgb="FFFFFFFF"/>
            <sz val="11"/>
          </rPr>
          <t>True if the route template contains :params.</t>
        </r>
      </text>
    </comment>
    <comment ref="O1" authorId="0">
      <text>
        <r>
          <rPr>
            <rFont val="Aptos Narrow"/>
            <b/>
            <color rgb="FFFFFFFF"/>
            <sz val="11"/>
          </rPr>
          <t>Pin to the top of its nav level, before SortOrder.</t>
        </r>
      </text>
    </comment>
    <comment ref="P1" authorId="0">
      <text>
        <r>
          <rPr>
            <rFont val="Aptos Narrow"/>
            <b/>
            <color rgb="FFFFFFFF"/>
            <sz val="11"/>
          </rPr>
          <t>Admin CRUD grant for this route (contains C/R/U/D). Empty = no access.</t>
        </r>
      </text>
    </comment>
    <comment ref="Q1" authorId="0">
      <text>
        <r>
          <rPr>
            <rFont val="Aptos Narrow"/>
            <b/>
            <color rgb="FFFFFFFF"/>
            <sz val="11"/>
          </rPr>
          <t>IntakeClinician CRUD grant for this route (contains C/R/U/D). Empty = no access.</t>
        </r>
      </text>
    </comment>
    <comment ref="R1" authorId="0">
      <text>
        <r>
          <rPr>
            <rFont val="Aptos Narrow"/>
            <b/>
            <color rgb="FFFFFFFF"/>
            <sz val="11"/>
          </rPr>
          <t>DiagnosingDoctor CRUD grant for this route (contains C/R/U/D). Empty = no access.</t>
        </r>
      </text>
    </comment>
    <comment ref="S1" authorId="0">
      <text>
        <r>
          <rPr>
            <rFont val="Aptos Narrow"/>
            <b/>
            <color rgb="FFFFFFFF"/>
            <sz val="11"/>
          </rPr>
          <t>ExternalLlm CRUD grant for this route (contains C/R/U/D). Empty = no access.</t>
        </r>
      </text>
    </comment>
    <comment ref="T1" authorId="0">
      <text>
        <r>
          <rPr>
            <rFont val="Aptos Narrow"/>
            <b/>
            <color rgb="FFFFFFFF"/>
            <sz val="11"/>
          </rPr>
          <t>Derived: AdminCRUD contains 'C'.</t>
        </r>
      </text>
    </comment>
    <comment ref="U1" authorId="0">
      <text>
        <r>
          <rPr>
            <rFont val="Aptos Narrow"/>
            <b/>
            <color rgb="FFFFFFFF"/>
            <sz val="11"/>
          </rPr>
          <t>Derived: AdminCRUD contains 'R'.</t>
        </r>
      </text>
    </comment>
    <comment ref="V1" authorId="0">
      <text>
        <r>
          <rPr>
            <rFont val="Aptos Narrow"/>
            <b/>
            <color rgb="FFFFFFFF"/>
            <sz val="11"/>
          </rPr>
          <t>Derived: AdminCRUD contains 'U'.</t>
        </r>
      </text>
    </comment>
    <comment ref="W1" authorId="0">
      <text>
        <r>
          <rPr>
            <rFont val="Aptos Narrow"/>
            <b/>
            <color rgb="FFFFFFFF"/>
            <sz val="11"/>
          </rPr>
          <t>Derived: AdminCRUD contains 'D'.</t>
        </r>
      </text>
    </comment>
    <comment ref="X1" authorId="0">
      <text>
        <r>
          <rPr>
            <rFont val="Aptos Narrow"/>
            <b/>
            <color rgb="FFFFFFFF"/>
            <sz val="11"/>
          </rPr>
          <t>Derived: IntakeClinicianCRUD contains 'C'.</t>
        </r>
      </text>
    </comment>
    <comment ref="Y1" authorId="0">
      <text>
        <r>
          <rPr>
            <rFont val="Aptos Narrow"/>
            <b/>
            <color rgb="FFFFFFFF"/>
            <sz val="11"/>
          </rPr>
          <t>Derived: IntakeClinicianCRUD contains 'R'.</t>
        </r>
      </text>
    </comment>
    <comment ref="Z1" authorId="0">
      <text>
        <r>
          <rPr>
            <rFont val="Aptos Narrow"/>
            <b/>
            <color rgb="FFFFFFFF"/>
            <sz val="11"/>
          </rPr>
          <t>Derived: IntakeClinicianCRUD contains 'U'.</t>
        </r>
      </text>
    </comment>
    <comment ref="AA1" authorId="0">
      <text>
        <r>
          <rPr>
            <rFont val="Aptos Narrow"/>
            <b/>
            <color rgb="FFFFFFFF"/>
            <sz val="11"/>
          </rPr>
          <t>Derived: IntakeClinicianCRUD contains 'D'.</t>
        </r>
      </text>
    </comment>
    <comment ref="AB1" authorId="0">
      <text>
        <r>
          <rPr>
            <rFont val="Aptos Narrow"/>
            <b/>
            <color rgb="FFFFFFFF"/>
            <sz val="11"/>
          </rPr>
          <t>Derived: DiagnosingDoctorCRUD contains 'C'.</t>
        </r>
      </text>
    </comment>
    <comment ref="AC1" authorId="0">
      <text>
        <r>
          <rPr>
            <rFont val="Aptos Narrow"/>
            <b/>
            <color rgb="FFFFFFFF"/>
            <sz val="11"/>
          </rPr>
          <t>Derived: DiagnosingDoctorCRUD contains 'R'.</t>
        </r>
      </text>
    </comment>
    <comment ref="AD1" authorId="0">
      <text>
        <r>
          <rPr>
            <rFont val="Aptos Narrow"/>
            <b/>
            <color rgb="FFFFFFFF"/>
            <sz val="11"/>
          </rPr>
          <t>Derived: DiagnosingDoctorCRUD contains 'U'.</t>
        </r>
      </text>
    </comment>
    <comment ref="AE1" authorId="0">
      <text>
        <r>
          <rPr>
            <rFont val="Aptos Narrow"/>
            <b/>
            <color rgb="FFFFFFFF"/>
            <sz val="11"/>
          </rPr>
          <t>Derived: DiagnosingDoctorCRUD contains 'D'.</t>
        </r>
      </text>
    </comment>
    <comment ref="AF1" authorId="0">
      <text>
        <r>
          <rPr>
            <rFont val="Aptos Narrow"/>
            <b/>
            <color rgb="FFFFFFFF"/>
            <sz val="11"/>
          </rPr>
          <t>Derived: ExternalLlmCRUD contains 'C'.</t>
        </r>
      </text>
    </comment>
    <comment ref="AG1" authorId="0">
      <text>
        <r>
          <rPr>
            <rFont val="Aptos Narrow"/>
            <b/>
            <color rgb="FFFFFFFF"/>
            <sz val="11"/>
          </rPr>
          <t>Derived: ExternalLlmCRUD contains 'R'.</t>
        </r>
      </text>
    </comment>
    <comment ref="AH1" authorId="0">
      <text>
        <r>
          <rPr>
            <rFont val="Aptos Narrow"/>
            <b/>
            <color rgb="FFFFFFFF"/>
            <sz val="11"/>
          </rPr>
          <t>Derived: ExternalLlmCRUD contains 'U'.</t>
        </r>
      </text>
    </comment>
    <comment ref="AI1" authorId="0">
      <text>
        <r>
          <rPr>
            <rFont val="Aptos Narrow"/>
            <b/>
            <color rgb="FFFFFFFF"/>
            <sz val="11"/>
          </rPr>
          <t>Derived: ExternalLlmCRUD contains 'D'.</t>
        </r>
      </text>
    </comment>
    <comment ref="AJ1" authorId="0">
      <text>
        <r>
          <rPr>
            <rFont val="Aptos Narrow"/>
            <b/>
            <color rgb="FFFFFFFF"/>
            <sz val="11"/>
          </rPr>
          <t>Nesting depth: 0 = top-level; otherwise number of dot-segments in RouteKey.</t>
        </r>
      </text>
    </comment>
    <comment ref="AK1" authorId="0">
      <text>
        <r>
          <rPr>
            <rFont val="Aptos Narrow"/>
            <b/>
            <color rgb="FFFFFFFF"/>
            <sz val="11"/>
          </rPr>
          <t>Canonical role-agnostic URL path (equals Route).</t>
        </r>
      </text>
    </comment>
    <comment ref="AL1" authorId="0">
      <text>
        <r>
          <rPr>
            <rFont val="Aptos Narrow"/>
            <b/>
            <color rgb="FFFFFFFF"/>
            <sz val="11"/>
          </rPr>
          <t>Space-delimited form of RouteKey; client PascalCases + prefixes role to derive a handler component.</t>
        </r>
      </text>
    </comment>
    <comment ref="AM1" authorId="0">
      <text>
        <r>
          <rPr>
            <rFont val="Aptos Narrow"/>
            <b/>
            <color rgb="FFFFFFFF"/>
            <sz val="11"/>
          </rPr>
          <t>Path to this routing node's own admin page.</t>
        </r>
      </text>
    </comment>
    <comment ref="AN1" authorId="0">
      <text>
        <r>
          <rPr>
            <rFont val="Aptos Narrow"/>
            <b/>
            <color rgb="FFFFFFFF"/>
            <sz val="11"/>
          </rPr>
          <t>Audit: when first inserted.</t>
        </r>
      </text>
    </comment>
    <comment ref="AO1" authorId="0">
      <text>
        <r>
          <rPr>
            <rFont val="Aptos Narrow"/>
            <b/>
            <color rgb="FFFFFFFF"/>
            <sz val="11"/>
          </rPr>
          <t>Audit: owner who created it.</t>
        </r>
      </text>
    </comment>
    <comment ref="AP1" authorId="0">
      <text>
        <r>
          <rPr>
            <rFont val="Aptos Narrow"/>
            <b/>
            <color rgb="FFFFFFFF"/>
            <sz val="11"/>
          </rPr>
          <t>Audit: when last written.</t>
        </r>
      </text>
    </comment>
    <comment ref="AQ1" authorId="0">
      <text>
        <r>
          <rPr>
            <rFont val="Aptos Narrow"/>
            <b/>
            <color rgb="FFFFFFFF"/>
            <sz val="11"/>
          </rPr>
          <t>Audit: who last wrote it.</t>
        </r>
      </text>
    </comment>
    <comment ref="AR1" authorId="0">
      <text>
        <r>
          <rPr>
            <rFont val="Aptos Narrow"/>
            <b/>
            <color rgb="FFFFFFFF"/>
            <sz val="11"/>
          </rPr>
          <t>Audit: AI model credited on last save, if any.</t>
        </r>
      </text>
    </comment>
    <comment ref="B1" authorId="0">
      <text>
        <r>
          <rPr>
            <rFont val="Aptos Narrow"/>
            <b/>
            <color rgb="FFFFFFFF"/>
            <sz val="11"/>
          </rPr>
          <t>Slug of the display name.</t>
        </r>
      </text>
    </comment>
  </commentList>
</comments>
</file>

<file path=xl/comments3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e.g. diagnosis-lifecycle.</t>
        </r>
      </text>
    </comment>
    <comment ref="C1" authorId="0">
      <text>
        <r>
          <rPr>
            <rFont val="Aptos Narrow"/>
            <b/>
            <color rgb="FFFFFFFF"/>
            <sz val="11"/>
          </rPr>
          <t>Path to this machine's page.</t>
        </r>
      </text>
    </comment>
    <comment ref="D1" authorId="0">
      <text>
        <r>
          <rPr>
            <rFont val="Aptos Narrow"/>
            <b/>
            <color rgb="FFFFFFFF"/>
            <sz val="11"/>
          </rPr>
          <t>Human-readable machine title.</t>
        </r>
      </text>
    </comment>
    <comment ref="E1" authorId="0">
      <text>
        <r>
          <rPr>
            <rFont val="Aptos Narrow"/>
            <b/>
            <color rgb="FFFFFFFF"/>
            <sz val="11"/>
          </rPr>
          <t>What this machine governs and its high-level flow.</t>
        </r>
      </text>
    </comment>
    <comment ref="F1" authorId="0">
      <text>
        <r>
          <rPr>
            <rFont val="Aptos Narrow"/>
            <b/>
            <color rgb="FFFFFFFF"/>
            <sz val="11"/>
          </rPr>
          <t>Entity table this machine governs (convention string, NOT a FK).</t>
        </r>
      </text>
    </comment>
    <comment ref="G1" authorId="0">
      <text>
        <r>
          <rPr>
            <rFont val="Aptos Narrow"/>
            <b/>
            <color rgb="FFFFFFFF"/>
            <sz val="11"/>
          </rPr>
          <t>Raw/derived column on the subject holding its current state.</t>
        </r>
      </text>
    </comment>
    <comment ref="H1" authorId="0">
      <text>
        <r>
          <rPr>
            <rFont val="Aptos Narrow"/>
            <b/>
            <color rgb="FFFFFFFF"/>
            <sz val="11"/>
          </rPr>
          <t>Reverse: legal states of this machine.</t>
        </r>
      </text>
    </comment>
    <comment ref="I1" authorId="0">
      <text>
        <r>
          <rPr>
            <rFont val="Aptos Narrow"/>
            <b/>
            <color rgb="FFFFFFFF"/>
            <sz val="11"/>
          </rPr>
          <t>Reverse: legal edges of this machine.</t>
        </r>
      </text>
    </comment>
    <comment ref="J1" authorId="0">
      <text>
        <r>
          <rPr>
            <rFont val="Aptos Narrow"/>
            <b/>
            <color rgb="FFFFFFFF"/>
            <sz val="11"/>
          </rPr>
          <t>Reverse: instance transition log rows.</t>
        </r>
      </text>
    </comment>
    <comment ref="K1" authorId="0">
      <text>
        <r>
          <rPr>
            <rFont val="Aptos Narrow"/>
            <b/>
            <color rgb="FFFFFFFF"/>
            <sz val="11"/>
          </rPr>
          <t>Count of MachineStates in this machine.</t>
        </r>
      </text>
    </comment>
    <comment ref="L1" authorId="0">
      <text>
        <r>
          <rPr>
            <rFont val="Aptos Narrow"/>
            <b/>
            <color rgb="FFFFFFFF"/>
            <sz val="11"/>
          </rPr>
          <t>Count of StateTransitionRules in this machine.</t>
        </r>
      </text>
    </comment>
    <comment ref="M1" authorId="0">
      <text>
        <r>
          <rPr>
            <rFont val="Aptos Narrow"/>
            <b/>
            <color rgb="FFFFFFFF"/>
            <sz val="11"/>
          </rPr>
          <t>Audit: when first inserted.</t>
        </r>
      </text>
    </comment>
    <comment ref="N1" authorId="0">
      <text>
        <r>
          <rPr>
            <rFont val="Aptos Narrow"/>
            <b/>
            <color rgb="FFFFFFFF"/>
            <sz val="11"/>
          </rPr>
          <t>Audit: owner who created it.</t>
        </r>
      </text>
    </comment>
    <comment ref="O1" authorId="0">
      <text>
        <r>
          <rPr>
            <rFont val="Aptos Narrow"/>
            <b/>
            <color rgb="FFFFFFFF"/>
            <sz val="11"/>
          </rPr>
          <t>Audit: when last written.</t>
        </r>
      </text>
    </comment>
    <comment ref="P1" authorId="0">
      <text>
        <r>
          <rPr>
            <rFont val="Aptos Narrow"/>
            <b/>
            <color rgb="FFFFFFFF"/>
            <sz val="11"/>
          </rPr>
          <t>Audit: who last wrote it.</t>
        </r>
      </text>
    </comment>
    <comment ref="Q1" authorId="0">
      <text>
        <r>
          <rPr>
            <rFont val="Aptos Narrow"/>
            <b/>
            <color rgb="FFFFFFFF"/>
            <sz val="11"/>
          </rPr>
          <t>Audit: AI model credited on last save, if any.</t>
        </r>
      </text>
    </comment>
    <comment ref="B1" authorId="0">
      <text>
        <r>
          <rPr>
            <rFont val="Aptos Narrow"/>
            <b/>
            <color rgb="FFFFFFFF"/>
            <sz val="11"/>
          </rPr>
          <t>Echoes StateMachineId.</t>
        </r>
      </text>
    </comment>
  </commentList>
</comments>
</file>

<file path=xl/comments3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e.g. diagnosis-lifecycle--intake.</t>
        </r>
      </text>
    </comment>
    <comment ref="C1" authorId="0">
      <text>
        <r>
          <rPr>
            <rFont val="Aptos Narrow"/>
            <b/>
            <color rgb="FFFFFFFF"/>
            <sz val="11"/>
          </rPr>
          <t>Path to this state's page.</t>
        </r>
      </text>
    </comment>
    <comment ref="D1" authorId="0">
      <text>
        <r>
          <rPr>
            <rFont val="Aptos Narrow"/>
            <b/>
            <color rgb="FFFFFFFF"/>
            <sz val="11"/>
          </rPr>
          <t>FK -&gt; StateMachines.StateMachineId.</t>
        </r>
      </text>
    </comment>
    <comment ref="E1" authorId="0">
      <text>
        <r>
          <rPr>
            <rFont val="Aptos Narrow"/>
            <b/>
            <color rgb="FFFFFFFF"/>
            <sz val="11"/>
          </rPr>
          <t>Bare value as stored/derived in the subject's current-state column.</t>
        </r>
      </text>
    </comment>
    <comment ref="F1" authorId="0">
      <text>
        <r>
          <rPr>
            <rFont val="Aptos Narrow"/>
            <b/>
            <color rgb="FFFFFFFF"/>
            <sz val="11"/>
          </rPr>
          <t>Human-readable state title.</t>
        </r>
      </text>
    </comment>
    <comment ref="G1" authorId="0">
      <text>
        <r>
          <rPr>
            <rFont val="Aptos Narrow"/>
            <b/>
            <color rgb="FFFFFFFF"/>
            <sz val="11"/>
          </rPr>
          <t>Sort order of this state within the machine.</t>
        </r>
      </text>
    </comment>
    <comment ref="H1" authorId="0">
      <text>
        <r>
          <rPr>
            <rFont val="Aptos Narrow"/>
            <b/>
            <color rgb="FFFFFFFF"/>
            <sz val="11"/>
          </rPr>
          <t>TRUE if this is the machine's entry state.</t>
        </r>
      </text>
    </comment>
    <comment ref="I1" authorId="0">
      <text>
        <r>
          <rPr>
            <rFont val="Aptos Narrow"/>
            <b/>
            <color rgb="FFFFFFFF"/>
            <sz val="11"/>
          </rPr>
          <t>TRUE if this is a terminal/end state.</t>
        </r>
      </text>
    </comment>
    <comment ref="J1" authorId="0">
      <text>
        <r>
          <rPr>
            <rFont val="Aptos Narrow"/>
            <b/>
            <color rgb="FFFFFFFF"/>
            <sz val="11"/>
          </rPr>
          <t>Reverse: rules whose FromState is this state.</t>
        </r>
      </text>
    </comment>
    <comment ref="K1" authorId="0">
      <text>
        <r>
          <rPr>
            <rFont val="Aptos Narrow"/>
            <b/>
            <color rgb="FFFFFFFF"/>
            <sz val="11"/>
          </rPr>
          <t>Reverse: rules whose ToState is this state.</t>
        </r>
      </text>
    </comment>
    <comment ref="L1" authorId="0">
      <text>
        <r>
          <rPr>
            <rFont val="Aptos Narrow"/>
            <b/>
            <color rgb="FFFFFFFF"/>
            <sz val="11"/>
          </rPr>
          <t>Audit: when first inserted.</t>
        </r>
      </text>
    </comment>
    <comment ref="M1" authorId="0">
      <text>
        <r>
          <rPr>
            <rFont val="Aptos Narrow"/>
            <b/>
            <color rgb="FFFFFFFF"/>
            <sz val="11"/>
          </rPr>
          <t>Audit: owner who created it.</t>
        </r>
      </text>
    </comment>
    <comment ref="N1" authorId="0">
      <text>
        <r>
          <rPr>
            <rFont val="Aptos Narrow"/>
            <b/>
            <color rgb="FFFFFFFF"/>
            <sz val="11"/>
          </rPr>
          <t>Audit: when last written.</t>
        </r>
      </text>
    </comment>
    <comment ref="O1" authorId="0">
      <text>
        <r>
          <rPr>
            <rFont val="Aptos Narrow"/>
            <b/>
            <color rgb="FFFFFFFF"/>
            <sz val="11"/>
          </rPr>
          <t>Audit: who last wrote it.</t>
        </r>
      </text>
    </comment>
    <comment ref="P1" authorId="0">
      <text>
        <r>
          <rPr>
            <rFont val="Aptos Narrow"/>
            <b/>
            <color rgb="FFFFFFFF"/>
            <sz val="11"/>
          </rPr>
          <t>Audit: AI model credited on last save, if any.</t>
        </r>
      </text>
    </comment>
    <comment ref="Q1" authorId="0">
      <text>
        <r>
          <rPr>
            <rFont val="Aptos Narrow"/>
            <b/>
            <color rgb="FFFFFFFF"/>
            <sz val="11"/>
          </rPr>
          <t>Number of states reachable FROM this state via the transitive closure of the transition edges (rollup over vw_state_transition_rules_closure where from_id = this state). This is a graph-reachability fact the linear severity rank CANNOT reproduce: both Quiescent (the remission sink) and BiopsyIndicated (the terminal progression state) have 0 reachable-ahead, though they sit at opposite ends of the order — the count is non-monotonic in OrderIndex because the machine BRANCHES (remission). The closure is load-bearing here: delete it and this field is uncomputable.</t>
        </r>
      </text>
    </comment>
    <comment ref="B1" authorId="0">
      <text>
        <r>
          <rPr>
            <rFont val="Aptos Narrow"/>
            <b/>
            <color rgb="FFFFFFFF"/>
            <sz val="11"/>
          </rPr>
          <t>Echoes MachineStateId.</t>
        </r>
      </text>
    </comment>
  </commentList>
</comments>
</file>

<file path=xl/comments3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 to this rule's page.</t>
        </r>
      </text>
    </comment>
    <comment ref="D1" authorId="0">
      <text>
        <r>
          <rPr>
            <rFont val="Aptos Narrow"/>
            <b/>
            <color rgb="FFFFFFFF"/>
            <sz val="11"/>
          </rPr>
          <t>FK -&gt; StateMachines.StateMachineId.</t>
        </r>
      </text>
    </comment>
    <comment ref="E1" authorId="0">
      <text>
        <r>
          <rPr>
            <rFont val="Aptos Narrow"/>
            <b/>
            <color rgb="FFFFFFFF"/>
            <sz val="11"/>
          </rPr>
          <t>FK -&gt; MachineStates.MachineStateId.</t>
        </r>
      </text>
    </comment>
    <comment ref="F1" authorId="0">
      <text>
        <r>
          <rPr>
            <rFont val="Aptos Narrow"/>
            <b/>
            <color rgb="FFFFFFFF"/>
            <sz val="11"/>
          </rPr>
          <t>FK -&gt; MachineStates.MachineStateId.</t>
        </r>
      </text>
    </comment>
    <comment ref="G1" authorId="0">
      <text>
        <r>
          <rPr>
            <rFont val="Aptos Narrow"/>
            <b/>
            <color rgb="FFFFFFFF"/>
            <sz val="11"/>
          </rPr>
          <t>Prose guard citing the DAG conditions. Does NOT reimplement rule logic.</t>
        </r>
      </text>
    </comment>
    <comment ref="H1" authorId="0">
      <text>
        <r>
          <rPr>
            <rFont val="Aptos Narrow"/>
            <b/>
            <color rgb="FFFFFFFF"/>
            <sz val="11"/>
          </rPr>
          <t>CSV of business-rule / gate codes the guard enforces.</t>
        </r>
      </text>
    </comment>
    <comment ref="I1" authorId="0">
      <text>
        <r>
          <rPr>
            <rFont val="Aptos Narrow"/>
            <b/>
            <color rgb="FFFFFFFF"/>
            <sz val="11"/>
          </rPr>
          <t>API endpoint whose action fires this transition.</t>
        </r>
      </text>
    </comment>
    <comment ref="J1" authorId="0">
      <text>
        <r>
          <rPr>
            <rFont val="Aptos Narrow"/>
            <b/>
            <color rgb="FFFFFFFF"/>
            <sz val="11"/>
          </rPr>
          <t>Role that fires this edge. Enum: system / intake-clinician / diagnosing-doctor / external-llm.</t>
        </r>
      </text>
    </comment>
    <comment ref="K1" authorId="0">
      <text>
        <r>
          <rPr>
            <rFont val="Aptos Narrow"/>
            <b/>
            <color rgb="FFFFFFFF"/>
            <sz val="11"/>
          </rPr>
          <t>Lookup: FromState.StateKey.</t>
        </r>
      </text>
    </comment>
    <comment ref="L1" authorId="0">
      <text>
        <r>
          <rPr>
            <rFont val="Aptos Narrow"/>
            <b/>
            <color rgb="FFFFFFFF"/>
            <sz val="11"/>
          </rPr>
          <t>Lookup: ToState.StateKey.</t>
        </r>
      </text>
    </comment>
    <comment ref="M1" authorId="0">
      <text>
        <r>
          <rPr>
            <rFont val="Aptos Narrow"/>
            <b/>
            <color rgb="FFFFFFFF"/>
            <sz val="11"/>
          </rPr>
          <t>TRUE when the edge advances to a different state (all edges here).</t>
        </r>
      </text>
    </comment>
    <comment ref="N1" authorId="0">
      <text>
        <r>
          <rPr>
            <rFont val="Aptos Narrow"/>
            <b/>
            <color rgb="FFFFFFFF"/>
            <sz val="11"/>
          </rPr>
          <t>Audit: when first inserted.</t>
        </r>
      </text>
    </comment>
    <comment ref="O1" authorId="0">
      <text>
        <r>
          <rPr>
            <rFont val="Aptos Narrow"/>
            <b/>
            <color rgb="FFFFFFFF"/>
            <sz val="11"/>
          </rPr>
          <t>Audit: owner who created it.</t>
        </r>
      </text>
    </comment>
    <comment ref="P1" authorId="0">
      <text>
        <r>
          <rPr>
            <rFont val="Aptos Narrow"/>
            <b/>
            <color rgb="FFFFFFFF"/>
            <sz val="11"/>
          </rPr>
          <t>Audit: when last written.</t>
        </r>
      </text>
    </comment>
    <comment ref="Q1" authorId="0">
      <text>
        <r>
          <rPr>
            <rFont val="Aptos Narrow"/>
            <b/>
            <color rgb="FFFFFFFF"/>
            <sz val="11"/>
          </rPr>
          <t>Audit: who last wrote it.</t>
        </r>
      </text>
    </comment>
    <comment ref="R1" authorId="0">
      <text>
        <r>
          <rPr>
            <rFont val="Aptos Narrow"/>
            <b/>
            <color rgb="FFFFFFFF"/>
            <sz val="11"/>
          </rPr>
          <t>Audit: AI model credited on last save, if any.</t>
        </r>
      </text>
    </comment>
    <comment ref="S1" authorId="0">
      <text>
        <r>
          <rPr>
            <rFont val="Aptos Narrow"/>
            <b/>
            <color rgb="FFFFFFFF"/>
            <sz val="11"/>
          </rPr>
          <t>Transitive closure of state-machine transitions (an owl:TransitiveProperty). The asserted FromState-&gt;ToState edges imply the full reachability ordering of each machine - including never-asserted long-range pairs such as PresymptomaticAutoimmunity -&gt; BiopsyIndicated. Materialized by the transpiler as the cycle-safe recursive view vw_state_transition_rules_closure(from_id, to_id, hop_distance, is_inferred): asserted edges (hop 1) plus inferred reachability rows. The disease trajectory is derived from the transition topology, not hand-asserted.</t>
        </r>
      </text>
    </comment>
    <comment ref="B1" authorId="0">
      <text>
        <r>
          <rPr>
            <rFont val="Aptos Narrow"/>
            <b/>
            <color rgb="FFFFFFFF"/>
            <sz val="11"/>
          </rPr>
          <t>Echoes StateTransitionRuleId.</t>
        </r>
      </text>
    </comment>
  </commentList>
</comments>
</file>

<file path=xl/comments3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 to this transition's page.</t>
        </r>
      </text>
    </comment>
    <comment ref="D1" authorId="0">
      <text>
        <r>
          <rPr>
            <rFont val="Aptos Narrow"/>
            <b/>
            <color rgb="FFFFFFFF"/>
            <sz val="11"/>
          </rPr>
          <t>FK -&gt; StateMachines.StateMachineId.</t>
        </r>
      </text>
    </comment>
    <comment ref="E1" authorId="0">
      <text>
        <r>
          <rPr>
            <rFont val="Aptos Narrow"/>
            <b/>
            <color rgb="FFFFFFFF"/>
            <sz val="11"/>
          </rPr>
          <t>Polymorphic: name of the subject's table (raw string, NOT a FK).</t>
        </r>
      </text>
    </comment>
    <comment ref="F1" authorId="0">
      <text>
        <r>
          <rPr>
            <rFont val="Aptos Narrow"/>
            <b/>
            <color rgb="FFFFFFFF"/>
            <sz val="11"/>
          </rPr>
          <t>Polymorphic: id of the subject row (raw string, NOT a FK).</t>
        </r>
      </text>
    </comment>
    <comment ref="G1" authorId="0">
      <text>
        <r>
          <rPr>
            <rFont val="Aptos Narrow"/>
            <b/>
            <color rgb="FFFFFFFF"/>
            <sz val="11"/>
          </rPr>
          <t>Bare from-state value. Null on the initial creation transition.</t>
        </r>
      </text>
    </comment>
    <comment ref="H1" authorId="0">
      <text>
        <r>
          <rPr>
            <rFont val="Aptos Narrow"/>
            <b/>
            <color rgb="FFFFFFFF"/>
            <sz val="11"/>
          </rPr>
          <t>Bare to-state value.</t>
        </r>
      </text>
    </comment>
    <comment ref="I1" authorId="0">
      <text>
        <r>
          <rPr>
            <rFont val="Aptos Narrow"/>
            <b/>
            <color rgb="FFFFFFFF"/>
            <sz val="11"/>
          </rPr>
          <t>When the transition occurred.</t>
        </r>
      </text>
    </comment>
    <comment ref="J1" authorId="0">
      <text>
        <r>
          <rPr>
            <rFont val="Aptos Narrow"/>
            <b/>
            <color rgb="FFFFFFFF"/>
            <sz val="11"/>
          </rPr>
          <t>Role that fired this transition.</t>
        </r>
      </text>
    </comment>
    <comment ref="K1" authorId="0">
      <text>
        <r>
          <rPr>
            <rFont val="Aptos Narrow"/>
            <b/>
            <color rgb="FFFFFFFF"/>
            <sz val="11"/>
          </rPr>
          <t>Why the transition happened (free text).</t>
        </r>
      </text>
    </comment>
    <comment ref="L1" authorId="0">
      <text>
        <r>
          <rPr>
            <rFont val="Aptos Narrow"/>
            <b/>
            <color rgb="FFFFFFFF"/>
            <sz val="11"/>
          </rPr>
          <t>TRUE when ToStateKey is not the machine's initial state.</t>
        </r>
      </text>
    </comment>
    <comment ref="M1" authorId="0">
      <text>
        <r>
          <rPr>
            <rFont val="Aptos Narrow"/>
            <b/>
            <color rgb="FFFFFFFF"/>
            <sz val="11"/>
          </rPr>
          <t>Audit: when first inserted.</t>
        </r>
      </text>
    </comment>
    <comment ref="N1" authorId="0">
      <text>
        <r>
          <rPr>
            <rFont val="Aptos Narrow"/>
            <b/>
            <color rgb="FFFFFFFF"/>
            <sz val="11"/>
          </rPr>
          <t>Audit: owner who created it.</t>
        </r>
      </text>
    </comment>
    <comment ref="O1" authorId="0">
      <text>
        <r>
          <rPr>
            <rFont val="Aptos Narrow"/>
            <b/>
            <color rgb="FFFFFFFF"/>
            <sz val="11"/>
          </rPr>
          <t>Audit: when last written.</t>
        </r>
      </text>
    </comment>
    <comment ref="P1" authorId="0">
      <text>
        <r>
          <rPr>
            <rFont val="Aptos Narrow"/>
            <b/>
            <color rgb="FFFFFFFF"/>
            <sz val="11"/>
          </rPr>
          <t>Audit: who last wrote it.</t>
        </r>
      </text>
    </comment>
    <comment ref="Q1" authorId="0">
      <text>
        <r>
          <rPr>
            <rFont val="Aptos Narrow"/>
            <b/>
            <color rgb="FFFFFFFF"/>
            <sz val="11"/>
          </rPr>
          <t>Audit: AI model credited on last save, if any.</t>
        </r>
      </text>
    </comment>
    <comment ref="B1" authorId="0">
      <text>
        <r>
          <rPr>
            <rFont val="Aptos Narrow"/>
            <b/>
            <color rgb="FFFFFFFF"/>
            <sz val="11"/>
          </rPr>
          <t>Echoes StateTransitionId.</t>
        </r>
      </text>
    </comment>
  </commentList>
</comments>
</file>

<file path=xl/comments3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PK: ssi-{subject-id}-{state-key}-{seq}.</t>
        </r>
      </text>
    </comment>
    <comment ref="C1" authorId="0">
      <text>
        <r>
          <rPr>
            <rFont val="Aptos Narrow"/>
            <b/>
            <color rgb="FFFFFFFF"/>
            <sz val="11"/>
          </rPr>
          <t>Path to this occupancy record.</t>
        </r>
      </text>
    </comment>
    <comment ref="D1" authorId="0">
      <text>
        <r>
          <rPr>
            <rFont val="Aptos Narrow"/>
            <b/>
            <color rgb="FFFFFFFF"/>
            <sz val="11"/>
          </rPr>
          <t>FK -&gt; StateMachines.StateMachineId.</t>
        </r>
      </text>
    </comment>
    <comment ref="E1" authorId="0">
      <text>
        <r>
          <rPr>
            <rFont val="Aptos Narrow"/>
            <b/>
            <color rgb="FFFFFFFF"/>
            <sz val="11"/>
          </rPr>
          <t>Polymorphic table name.</t>
        </r>
      </text>
    </comment>
    <comment ref="F1" authorId="0">
      <text>
        <r>
          <rPr>
            <rFont val="Aptos Narrow"/>
            <b/>
            <color rgb="FFFFFFFF"/>
            <sz val="11"/>
          </rPr>
          <t>Polymorphic PK of the subject row.</t>
        </r>
      </text>
    </comment>
    <comment ref="G1" authorId="0">
      <text>
        <r>
          <rPr>
            <rFont val="Aptos Narrow"/>
            <b/>
            <color rgb="FFFFFFFF"/>
            <sz val="11"/>
          </rPr>
          <t>The machine state entered by this occupancy record.</t>
        </r>
      </text>
    </comment>
    <comment ref="H1" authorId="0">
      <text>
        <r>
          <rPr>
            <rFont val="Aptos Narrow"/>
            <b/>
            <color rgb="FFFFFFFF"/>
            <sz val="11"/>
          </rPr>
          <t>Timestamp when this state was entered.</t>
        </r>
      </text>
    </comment>
    <comment ref="I1" authorId="0">
      <text>
        <r>
          <rPr>
            <rFont val="Aptos Narrow"/>
            <b/>
            <color rgb="FFFFFFFF"/>
            <sz val="11"/>
          </rPr>
          <t>Timestamp when the subject left this state. NULL while current.</t>
        </r>
      </text>
    </comment>
    <comment ref="J1" authorId="0">
      <text>
        <r>
          <rPr>
            <rFont val="Aptos Narrow"/>
            <b/>
            <color rgb="FFFFFFFF"/>
            <sz val="11"/>
          </rPr>
          <t>1-based position on this subject's path through the machine.</t>
        </r>
      </text>
    </comment>
    <comment ref="K1" authorId="0">
      <text>
        <r>
          <rPr>
            <rFont val="Aptos Narrow"/>
            <b/>
            <color rgb="FFFFFFFF"/>
            <sz val="11"/>
          </rPr>
          <t>Self-FK: previous occupancy in this subject's chain. NULL for initial.</t>
        </r>
      </text>
    </comment>
    <comment ref="L1" authorId="0">
      <text>
        <r>
          <rPr>
            <rFont val="Aptos Narrow"/>
            <b/>
            <color rgb="FFFFFFFF"/>
            <sz val="11"/>
          </rPr>
          <t>FK -&gt; StateTransitions: the edge event that created this occupancy.</t>
        </r>
      </text>
    </comment>
    <comment ref="M1" authorId="0">
      <text>
        <r>
          <rPr>
            <rFont val="Aptos Narrow"/>
            <b/>
            <color rgb="FFFFFFFF"/>
            <sz val="11"/>
          </rPr>
          <t>TRUE when ExitedAt IS NULL — the subject's active state.</t>
        </r>
      </text>
    </comment>
    <comment ref="N1" authorId="0">
      <text>
        <r>
          <rPr>
            <rFont val="Aptos Narrow"/>
            <b/>
            <color rgb="FFFFFFFF"/>
            <sz val="11"/>
          </rPr>
          <t>TRUE when lineage walks back to SequenceIndex 1.</t>
        </r>
      </text>
    </comment>
    <comment ref="O1" authorId="0">
      <text>
        <r>
          <rPr>
            <rFont val="Aptos Narrow"/>
            <b/>
            <color rgb="FFFFFFFF"/>
            <sz val="11"/>
          </rPr>
          <t>Audit: when first inserted.</t>
        </r>
      </text>
    </comment>
    <comment ref="P1" authorId="0">
      <text>
        <r>
          <rPr>
            <rFont val="Aptos Narrow"/>
            <b/>
            <color rgb="FFFFFFFF"/>
            <sz val="11"/>
          </rPr>
          <t>Audit: owner who created it.</t>
        </r>
      </text>
    </comment>
    <comment ref="Q1" authorId="0">
      <text>
        <r>
          <rPr>
            <rFont val="Aptos Narrow"/>
            <b/>
            <color rgb="FFFFFFFF"/>
            <sz val="11"/>
          </rPr>
          <t>Audit: when last written.</t>
        </r>
      </text>
    </comment>
    <comment ref="R1" authorId="0">
      <text>
        <r>
          <rPr>
            <rFont val="Aptos Narrow"/>
            <b/>
            <color rgb="FFFFFFFF"/>
            <sz val="11"/>
          </rPr>
          <t>Audit: who last wrote it.</t>
        </r>
      </text>
    </comment>
    <comment ref="S1" authorId="0">
      <text>
        <r>
          <rPr>
            <rFont val="Aptos Narrow"/>
            <b/>
            <color rgb="FFFFFFFF"/>
            <sz val="11"/>
          </rPr>
          <t>Audit: AI model credited on last save, if any.</t>
        </r>
      </text>
    </comment>
    <comment ref="T1" authorId="0">
      <text>
        <r>
          <rPr>
            <rFont val="Aptos Narrow"/>
            <b/>
            <color rgb="FFFFFFFF"/>
            <sz val="11"/>
          </rPr>
          <t>Bitemporal dwell: days the subject occupied this state (transparent raw value; transpiler lacks date-diff). Witnessed + editable, like any leaf.</t>
        </r>
      </text>
    </comment>
    <comment ref="U1" authorId="0">
      <text>
        <r>
          <rPr>
            <rFont val="Aptos Narrow"/>
            <b/>
            <color rgb="FFFFFFFF"/>
            <sz val="11"/>
          </rPr>
          <t>TRUE when DwellDays &gt;= 90 (a season).</t>
        </r>
      </text>
    </comment>
    <comment ref="B1" authorId="0">
      <text>
        <r>
          <rPr>
            <rFont val="Aptos Narrow"/>
            <b/>
            <color rgb="FFFFFFFF"/>
            <sz val="11"/>
          </rPr>
          <t>Echoes SubjectStateInstanceId.</t>
        </r>
      </text>
    </comment>
  </commentList>
</comments>
</file>

<file path=xl/comments3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unique key for this setting (kebab or dotted). Fragment formulas reference it by this key.</t>
        </r>
      </text>
    </comment>
    <comment ref="C1" authorId="0">
      <text>
        <r>
          <rPr>
            <rFont val="Aptos Narrow"/>
            <b/>
            <color rgb="FFFFFFFF"/>
            <sz val="11"/>
          </rPr>
          <t>The setting's value as text (numbers and booleans stored as strings; ValueType records the intended type).</t>
        </r>
      </text>
    </comment>
    <comment ref="D1" authorId="0">
      <text>
        <r>
          <rPr>
            <rFont val="Aptos Narrow"/>
            <b/>
            <color rgb="FFFFFFFF"/>
            <sz val="11"/>
          </rPr>
          <t>How to read Value: string | number | boolean | json | phrase.</t>
        </r>
      </text>
    </comment>
    <comment ref="E1" authorId="0">
      <text>
        <r>
          <rPr>
            <rFont val="Aptos Narrow"/>
            <b/>
            <color rgb="FFFFFFFF"/>
            <sz val="11"/>
          </rPr>
          <t>What this setting is for and where it is referenced.</t>
        </r>
      </text>
    </comment>
    <comment ref="F1" authorId="0">
      <text>
        <r>
          <rPr>
            <rFont val="Aptos Narrow"/>
            <b/>
            <color rgb="FFFFFFFF"/>
            <sz val="11"/>
          </rPr>
          <t>Provenance: where the value came from (case author, clinical convention, third-party doc, build-seed).</t>
        </r>
      </text>
    </comment>
    <comment ref="G1" authorId="0">
      <text>
        <r>
          <rPr>
            <rFont val="Aptos Narrow"/>
            <b/>
            <color rgb="FFFFFFFF"/>
            <sz val="11"/>
          </rPr>
          <t>Display label.</t>
        </r>
      </text>
    </comment>
    <comment ref="H1" authorId="0">
      <text>
        <r>
          <rPr>
            <rFont val="Aptos Narrow"/>
            <b/>
            <color rgb="FFFFFFFF"/>
            <sz val="11"/>
          </rPr>
          <t>Path to this __meta__ entry: /admin/meta/&lt;key&gt;.</t>
        </r>
      </text>
    </comment>
    <comment ref="B1" authorId="0">
      <text>
        <r>
          <rPr>
            <rFont val="Aptos Narrow"/>
            <b/>
            <color rgb="FFFFFFFF"/>
            <sz val="11"/>
          </rPr>
          <t>Grouping: report-config | phrase | band-threshold | band-vocabulary | third-party | parameter | choice.</t>
        </r>
      </text>
    </comment>
  </commentList>
</comments>
</file>

<file path=xl/comments3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Disease this concept belongs to (SLE/RA/PsA/* for cross-cutting). Convention string, not a FK.</t>
        </r>
      </text>
    </comment>
    <comment ref="D1" authorId="0">
      <text>
        <r>
          <rPr>
            <rFont val="Aptos Narrow"/>
            <b/>
            <color rgb="FFFFFFFF"/>
            <sz val="11"/>
          </rPr>
          <t>deep-dag | schema | vocabulary — how deeply v2 models this concept.</t>
        </r>
      </text>
    </comment>
    <comment ref="E1" authorId="0">
      <text>
        <r>
          <rPr>
            <rFont val="Aptos Narrow"/>
            <b/>
            <color rgb="FFFFFFFF"/>
            <sz val="11"/>
          </rPr>
          <t>What the concept is and how v2 represents it.</t>
        </r>
      </text>
    </comment>
    <comment ref="F1" authorId="0">
      <text>
        <r>
          <rPr>
            <rFont val="Aptos Narrow"/>
            <b/>
            <color rgb="FFFFFFFF"/>
            <sz val="11"/>
          </rPr>
          <t>Which TYPE of original-challenge stressor this concept instantiates (for the reconcile map).</t>
        </r>
      </text>
    </comment>
    <comment ref="G1" authorId="0">
      <text>
        <r>
          <rPr>
            <rFont val="Aptos Narrow"/>
            <b/>
            <color rgb="FFFFFFFF"/>
            <sz val="11"/>
          </rPr>
          <t>Echoes ConceptLabel.</t>
        </r>
      </text>
    </comment>
    <comment ref="H1" authorId="0">
      <text>
        <r>
          <rPr>
            <rFont val="Aptos Narrow"/>
            <b/>
            <color rgb="FFFFFFFF"/>
            <sz val="11"/>
          </rPr>
          <t>Path to this concept's page.</t>
        </r>
      </text>
    </comment>
    <comment ref="I1" authorId="0">
      <text>
        <r>
          <rPr>
            <rFont val="Aptos Narrow"/>
            <b/>
            <color rgb="FFFFFFFF"/>
            <sz val="11"/>
          </rPr>
          <t>TRUE when this concept carries a witnessed inference DAG (status = deep-dag).</t>
        </r>
      </text>
    </comment>
    <comment ref="J1" authorId="0">
      <text>
        <r>
          <rPr>
            <rFont val="Aptos Narrow"/>
            <b/>
            <color rgb="FFFFFFFF"/>
            <sz val="11"/>
          </rPr>
          <t>TRUE when first-class schema/data (deep-dag or schema).</t>
        </r>
      </text>
    </comment>
    <comment ref="B1" authorId="0">
      <text>
        <r>
          <rPr>
            <rFont val="Aptos Narrow"/>
            <b/>
            <color rgb="FFFFFFFF"/>
            <sz val="11"/>
          </rPr>
          <t>Human-readable concept name (the audit's missing word).</t>
        </r>
      </text>
    </comment>
  </commentList>
</comments>
</file>

<file path=xl/comments3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sero-{ind}-{seq}.</t>
        </r>
      </text>
    </comment>
    <comment ref="C1" authorId="0">
      <text>
        <r>
          <rPr>
            <rFont val="Aptos Narrow"/>
            <b/>
            <color rgb="FFFFFFFF"/>
            <sz val="11"/>
          </rPr>
          <t>Valid-time of this serology panel (RAW leaf).</t>
        </r>
      </text>
    </comment>
    <comment ref="D1" authorId="0">
      <text>
        <r>
          <rPr>
            <rFont val="Aptos Narrow"/>
            <b/>
            <color rgb="FFFFFFFF"/>
            <sz val="11"/>
          </rPr>
          <t>1-based order within the individual's panel series (RAW).</t>
        </r>
      </text>
    </comment>
    <comment ref="E1" authorId="0">
      <text>
        <r>
          <rPr>
            <rFont val="Aptos Narrow"/>
            <b/>
            <color rgb="FFFFFFFF"/>
            <sz val="11"/>
          </rPr>
          <t>anti-dsDNA titre IU/mL (RAW lab).</t>
        </r>
      </text>
    </comment>
    <comment ref="F1" authorId="0">
      <text>
        <r>
          <rPr>
            <rFont val="Aptos Narrow"/>
            <b/>
            <color rgb="FFFFFFFF"/>
            <sz val="11"/>
          </rPr>
          <t>C3 mg/dL (RAW lab).</t>
        </r>
      </text>
    </comment>
    <comment ref="G1" authorId="0">
      <text>
        <r>
          <rPr>
            <rFont val="Aptos Narrow"/>
            <b/>
            <color rgb="FFFFFFFF"/>
            <sz val="11"/>
          </rPr>
          <t>C4 mg/dL (RAW lab).</t>
        </r>
      </text>
    </comment>
    <comment ref="H1" authorId="0">
      <text>
        <r>
          <rPr>
            <rFont val="Aptos Narrow"/>
            <b/>
            <color rgb="FFFFFFFF"/>
            <sz val="11"/>
          </rPr>
          <t>urine protein g/day (RAW lab).</t>
        </r>
      </text>
    </comment>
    <comment ref="I1" authorId="0">
      <text>
        <r>
          <rPr>
            <rFont val="Aptos Narrow"/>
            <b/>
            <color rgb="FFFFFFFF"/>
            <sz val="11"/>
          </rPr>
          <t>eGFR mL/min (RAW lab).</t>
        </r>
      </text>
    </comment>
    <comment ref="J1" authorId="0">
      <text>
        <r>
          <rPr>
            <rFont val="Aptos Narrow"/>
            <b/>
            <color rgb="FFFFFFFF"/>
            <sz val="11"/>
          </rPr>
          <t>active casts/hematuria (RAW observation).</t>
        </r>
      </text>
    </comment>
    <comment ref="K1" authorId="0">
      <text>
        <r>
          <rPr>
            <rFont val="Aptos Narrow"/>
            <b/>
            <color rgb="FFFFFFFF"/>
            <sz val="11"/>
          </rPr>
          <t>Self-FK -&gt; the prior panel in this individual's series (seq-1). NULL for the first.</t>
        </r>
      </text>
    </comment>
    <comment ref="L1" authorId="0">
      <text>
        <r>
          <rPr>
            <rFont val="Aptos Narrow"/>
            <b/>
            <color rgb="FFFFFFFF"/>
            <sz val="11"/>
          </rPr>
          <t>Prior panel's dsDNA via PriorObservation FK, for trend.</t>
        </r>
      </text>
    </comment>
    <comment ref="M1" authorId="0">
      <text>
        <r>
          <rPr>
            <rFont val="Aptos Narrow"/>
            <b/>
            <color rgb="FFFFFFFF"/>
            <sz val="11"/>
          </rPr>
          <t>Prior C3 via PriorObservation FK.</t>
        </r>
      </text>
    </comment>
    <comment ref="N1" authorId="0">
      <text>
        <r>
          <rPr>
            <rFont val="Aptos Narrow"/>
            <b/>
            <color rgb="FFFFFFFF"/>
            <sz val="11"/>
          </rPr>
          <t>Prior C4 via PriorObservation FK.</t>
        </r>
      </text>
    </comment>
    <comment ref="O1" authorId="0">
      <text>
        <r>
          <rPr>
            <rFont val="Aptos Narrow"/>
            <b/>
            <color rgb="FFFFFFFF"/>
            <sz val="11"/>
          </rPr>
          <t>Rising/Falling/Stable vs prior panel (derived from raw).</t>
        </r>
      </text>
    </comment>
    <comment ref="P1" authorId="0">
      <text>
        <r>
          <rPr>
            <rFont val="Aptos Narrow"/>
            <b/>
            <color rgb="FFFFFFFF"/>
            <sz val="11"/>
          </rPr>
          <t>Rising/Falling/Stable on C3+C4 vs prior (derived).</t>
        </r>
      </text>
    </comment>
    <comment ref="Q1" authorId="0">
      <text>
        <r>
          <rPr>
            <rFont val="Aptos Narrow"/>
            <b/>
            <color rgb="FFFFFFFF"/>
            <sz val="11"/>
          </rPr>
          <t>The pre-nephritic serology signature at THIS panel: rising anti-dsDNA + falling complement (the serological trajectory that precedes/tracks overt renal involvement). Emergent from the raw series, not a label anyone assigned. (Proteinuria is the OUTCOME the signature precedes, so it is deliberately NOT part of the signal.)</t>
        </r>
      </text>
    </comment>
    <comment ref="R1" authorId="0">
      <text>
        <r>
          <rPr>
            <rFont val="Aptos Narrow"/>
            <b/>
            <color rgb="FFFFFFFF"/>
            <sz val="11"/>
          </rPr>
          <t>proteinuria &gt;= 0.5 g/day.</t>
        </r>
      </text>
    </comment>
    <comment ref="S1" authorId="0">
      <text>
        <r>
          <rPr>
            <rFont val="Aptos Narrow"/>
            <b/>
            <color rgb="FFFFFFFF"/>
            <sz val="11"/>
          </rPr>
          <t>proteinuria &gt;= 3.0 g/day.</t>
        </r>
      </text>
    </comment>
    <comment ref="T1" authorId="0">
      <text>
        <r>
          <rPr>
            <rFont val="Aptos Narrow"/>
            <b/>
            <color rgb="FFFFFFFF"/>
            <sz val="11"/>
          </rPr>
          <t>SLEDAI-style renal sub-score (0/4/8) from proteinuria + sediment.</t>
        </r>
      </text>
    </comment>
    <comment ref="U1" authorId="0">
      <text>
        <r>
          <rPr>
            <rFont val="Aptos Narrow"/>
            <b/>
            <color rgb="FFFFFFFF"/>
            <sz val="11"/>
          </rPr>
          <t>SLEDAI-style serology sub-score (0/2/4) from low-complement + raised dsDNA.</t>
        </r>
      </text>
    </comment>
    <comment ref="V1" authorId="0">
      <text>
        <r>
          <rPr>
            <rFont val="Aptos Narrow"/>
            <b/>
            <color rgb="FFFFFFFF"/>
            <sz val="11"/>
          </rPr>
          <t>Derived SLEDAI-style activity score = renal + serology points.</t>
        </r>
      </text>
    </comment>
    <comment ref="W1" authorId="0">
      <text>
        <r>
          <rPr>
            <rFont val="Aptos Narrow"/>
            <b/>
            <color rgb="FFFFFFFF"/>
            <sz val="11"/>
          </rPr>
          <t>Disease state IMPLIED by THIS panel (derived purely from raw leaves).</t>
        </r>
      </text>
    </comment>
    <comment ref="X1" authorId="0">
      <text>
        <r>
          <rPr>
            <rFont val="Aptos Narrow"/>
            <b/>
            <color rgb="FFFFFFFF"/>
            <sz val="11"/>
          </rPr>
          <t>Numeric severity order of THIS panel's implied state (0..5). Lets the individual's current state be a MAXIFS over panels (highest state reached).</t>
        </r>
      </text>
    </comment>
    <comment ref="Y1" authorId="0">
      <text>
        <r>
          <rPr>
            <rFont val="Aptos Narrow"/>
            <b/>
            <color rgb="FFFFFFFF"/>
            <sz val="11"/>
          </rPr>
          <t>Echoes id.</t>
        </r>
      </text>
    </comment>
    <comment ref="Z1" authorId="0">
      <text>
        <r>
          <rPr>
            <rFont val="Aptos Narrow"/>
            <b/>
            <color rgb="FFFFFFFF"/>
            <sz val="11"/>
          </rPr>
          <t>Path.</t>
        </r>
      </text>
    </comment>
    <comment ref="B1" authorId="0">
      <text>
        <r>
          <rPr>
            <rFont val="Aptos Narrow"/>
            <b/>
            <color rgb="FFFFFFFF"/>
            <sz val="11"/>
          </rPr>
          <t>FK -&gt; Individuals.IndividualId.</t>
        </r>
      </text>
    </comment>
  </commentList>
</comments>
</file>

<file path=xl/comments3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Pathway this therapy targets (matches CausalMechanisms.TargetPathway).</t>
        </r>
      </text>
    </comment>
    <comment ref="D1" authorId="0">
      <text>
        <r>
          <rPr>
            <rFont val="Aptos Narrow"/>
            <b/>
            <color rgb="FFFFFFFF"/>
            <sz val="11"/>
          </rPr>
          <t>Treatment-line ordinal (1=first-line/induction).</t>
        </r>
      </text>
    </comment>
    <comment ref="E1" authorId="0">
      <text>
        <r>
          <rPr>
            <rFont val="Aptos Narrow"/>
            <b/>
            <color rgb="FFFFFFFF"/>
            <sz val="11"/>
          </rPr>
          <t>Clinical context where preferred.</t>
        </r>
      </text>
    </comment>
    <comment ref="F1" authorId="0">
      <text>
        <r>
          <rPr>
            <rFont val="Aptos Narrow"/>
            <b/>
            <color rgb="FFFFFFFF"/>
            <sz val="11"/>
          </rPr>
          <t>Echo.</t>
        </r>
      </text>
    </comment>
    <comment ref="G1" authorId="0">
      <text>
        <r>
          <rPr>
            <rFont val="Aptos Narrow"/>
            <b/>
            <color rgb="FFFFFFFF"/>
            <sz val="11"/>
          </rPr>
          <t>Path.</t>
        </r>
      </text>
    </comment>
    <comment ref="B1" authorId="0">
      <text>
        <r>
          <rPr>
            <rFont val="Aptos Narrow"/>
            <b/>
            <color rgb="FFFFFFFF"/>
            <sz val="11"/>
          </rPr>
          <t>Therapy name.</t>
        </r>
      </text>
    </comment>
  </commentList>
</comments>
</file>

<file path=xl/sharedStrings.xml><?xml version="1.0" encoding="utf-8"?>
<sst xmlns="http://schemas.openxmlformats.org/spreadsheetml/2006/main" count="2000" uniqueCount="2000">
  <si>
    <t>AutoimmuneDiseaseId</t>
  </si>
  <si>
    <t>DiseaseLabel</t>
  </si>
  <si>
    <t>IsComplexDisease</t>
  </si>
  <si>
    <t>Name</t>
  </si>
  <si>
    <t>RelativePath</t>
  </si>
  <si>
    <t>CountOfDiseaseStages</t>
  </si>
  <si>
    <t>CountOfInterventionTargets</t>
  </si>
  <si>
    <t>DiseaseStages</t>
  </si>
  <si>
    <t>Treatments</t>
  </si>
  <si>
    <t>ClinicalPhenotypes</t>
  </si>
  <si>
    <t>IndividualPredictions</t>
  </si>
  <si>
    <t>CounterfactualTrajectories</t>
  </si>
  <si>
    <t>InterventionTargets</t>
  </si>
  <si>
    <t>sle</t>
  </si>
  <si>
    <t>Systemic Lupus Erythematosus</t>
  </si>
  <si>
    <t>ra</t>
  </si>
  <si>
    <t>Rheumatoid Arthritis</t>
  </si>
  <si>
    <t>psa</t>
  </si>
  <si>
    <t>Psoriatic Arthritis</t>
  </si>
  <si>
    <t>DiseaseStageId</t>
  </si>
  <si>
    <t>StageLabel</t>
  </si>
  <si>
    <t>SortOrder</t>
  </si>
  <si>
    <t>AutoimmuneDisease</t>
  </si>
  <si>
    <t>ParentPath</t>
  </si>
  <si>
    <t>AutoimmuneDiseaseDiseaseLabel</t>
  </si>
  <si>
    <t>IsPresymptomatic</t>
  </si>
  <si>
    <t>sle-presymptomatic</t>
  </si>
  <si>
    <t>Presymptomatic</t>
  </si>
  <si>
    <t>sle-active</t>
  </si>
  <si>
    <t>Active</t>
  </si>
  <si>
    <t>sle-remission</t>
  </si>
  <si>
    <t>Remission</t>
  </si>
  <si>
    <t>ra-active</t>
  </si>
  <si>
    <t>ra-remission</t>
  </si>
  <si>
    <t>psa-active</t>
  </si>
  <si>
    <t>TissueId</t>
  </si>
  <si>
    <t>TissueLabel</t>
  </si>
  <si>
    <t>CountOfOmicsAssays</t>
  </si>
  <si>
    <t>OmicsAssays</t>
  </si>
  <si>
    <t>blood</t>
  </si>
  <si>
    <t>Blood</t>
  </si>
  <si>
    <t>gut</t>
  </si>
  <si>
    <t>Gut</t>
  </si>
  <si>
    <t>synovium</t>
  </si>
  <si>
    <t>Synovium</t>
  </si>
  <si>
    <t>skin</t>
  </si>
  <si>
    <t>Skin</t>
  </si>
  <si>
    <t>kidney</t>
  </si>
  <si>
    <t>Kidney</t>
  </si>
  <si>
    <t>OmicsModalityId</t>
  </si>
  <si>
    <t>ModalityLabel</t>
  </si>
  <si>
    <t>IsSingleCell</t>
  </si>
  <si>
    <t>long-read-genomes</t>
  </si>
  <si>
    <t>Phased Telomere-to-Telomere Long-Read Genomes</t>
  </si>
  <si>
    <t>rna-seq</t>
  </si>
  <si>
    <t>RNA-seq</t>
  </si>
  <si>
    <t>single-cell-rna</t>
  </si>
  <si>
    <t>Single-Cell RNA-seq</t>
  </si>
  <si>
    <t>atac-seq</t>
  </si>
  <si>
    <t>ATAC-seq</t>
  </si>
  <si>
    <t>proteomics</t>
  </si>
  <si>
    <t>Proteomics</t>
  </si>
  <si>
    <t>microbiome</t>
  </si>
  <si>
    <t>Microbiome</t>
  </si>
  <si>
    <t>methylome</t>
  </si>
  <si>
    <t>Methylome (sparse context)</t>
  </si>
  <si>
    <t>hi-c</t>
  </si>
  <si>
    <t>Chromatin Conformation Hi-C (sparse context)</t>
  </si>
  <si>
    <t>FederatedDatasetId</t>
  </si>
  <si>
    <t>NodeLabel</t>
  </si>
  <si>
    <t>Region</t>
  </si>
  <si>
    <t>IsPrivacyPreserving</t>
  </si>
  <si>
    <t>CountOfIndividuals</t>
  </si>
  <si>
    <t>Individuals</t>
  </si>
  <si>
    <t>CohortReplications</t>
  </si>
  <si>
    <t>fed-europe</t>
  </si>
  <si>
    <t>European Reference Node</t>
  </si>
  <si>
    <t>Europe</t>
  </si>
  <si>
    <t>fed-east-asia</t>
  </si>
  <si>
    <t>East Asia Federated Node</t>
  </si>
  <si>
    <t>East Asia</t>
  </si>
  <si>
    <t>fed-west-africa</t>
  </si>
  <si>
    <t>West Africa Federated Node</t>
  </si>
  <si>
    <t>West Africa</t>
  </si>
  <si>
    <t>fed-amazon</t>
  </si>
  <si>
    <t>Amazon Indigenous Cohort</t>
  </si>
  <si>
    <t>Amazon Basin</t>
  </si>
  <si>
    <t>VariantTypeId</t>
  </si>
  <si>
    <t>TypeLabel</t>
  </si>
  <si>
    <t>IsRareVariantClass</t>
  </si>
  <si>
    <t>CountOfGenomicVariants</t>
  </si>
  <si>
    <t>GenomicVariants</t>
  </si>
  <si>
    <t>regulatory</t>
  </si>
  <si>
    <t>Regulatory Variant</t>
  </si>
  <si>
    <t>coding</t>
  </si>
  <si>
    <t>Coding Variant</t>
  </si>
  <si>
    <t>hla-haplotype</t>
  </si>
  <si>
    <t>HLA Haplotype</t>
  </si>
  <si>
    <t>structural</t>
  </si>
  <si>
    <t>Structural Variant</t>
  </si>
  <si>
    <t>de-novo</t>
  </si>
  <si>
    <t>De Novo Mutation</t>
  </si>
  <si>
    <t>IndividualId</t>
  </si>
  <si>
    <t>GivenName</t>
  </si>
  <si>
    <t>FamilyName</t>
  </si>
  <si>
    <t>AncestryLabel</t>
  </si>
  <si>
    <t>AgeYears</t>
  </si>
  <si>
    <t>IsAncestryAbsentFromTraining</t>
  </si>
  <si>
    <t>FederatedDataset</t>
  </si>
  <si>
    <t>EnrollmentDate</t>
  </si>
  <si>
    <t>HasCrypticRelatednessFlag</t>
  </si>
  <si>
    <t>Slug</t>
  </si>
  <si>
    <t>FederatedDatasetNodeLabel</t>
  </si>
  <si>
    <t>CountOfCausalMechanisms</t>
  </si>
  <si>
    <t>CountOfEpistaticInteractions</t>
  </si>
  <si>
    <t>RareVariantBurdenScore</t>
  </si>
  <si>
    <t>CausalArchitectureScore</t>
  </si>
  <si>
    <t>IsDevelopmentWindow</t>
  </si>
  <si>
    <t>IsAgingWindow</t>
  </si>
  <si>
    <t>CountConfirmedCausalNodes</t>
  </si>
  <si>
    <t>SumConfirmedCausalConfidence</t>
  </si>
  <si>
    <t>CountCrossAncestryConfirmedNodes</t>
  </si>
  <si>
    <t>MaxSeverityScore</t>
  </si>
  <si>
    <t>CountHighSeverityPhenotypes</t>
  </si>
  <si>
    <t>HasHighSeverityPhenotype</t>
  </si>
  <si>
    <t>CountPredictedTreatmentResponses</t>
  </si>
  <si>
    <t>HasPredictedTreatmentResponse</t>
  </si>
  <si>
    <t>EnvironmentalExposures</t>
  </si>
  <si>
    <t>CausalMechanisms</t>
  </si>
  <si>
    <t>EpistaticInteractions</t>
  </si>
  <si>
    <t>CaseNarrative</t>
  </si>
  <si>
    <t>CountSerologyPanels</t>
  </si>
  <si>
    <t>CountPreNephriticSignaturePanels</t>
  </si>
  <si>
    <t>IsInPreNephriticSignatureCluster</t>
  </si>
  <si>
    <t>SignatureStrength</t>
  </si>
  <si>
    <t>MaxProgressionStateOrder</t>
  </si>
  <si>
    <t>LatestSledaiScore</t>
  </si>
  <si>
    <t>NephritisProgressionStateKey</t>
  </si>
  <si>
    <t>ActivityTier</t>
  </si>
  <si>
    <t>IsHighDiseaseActivity</t>
  </si>
  <si>
    <t>IsDiseaseProgressing</t>
  </si>
  <si>
    <t>TargetPathwayCode</t>
  </si>
  <si>
    <t>TargetPathway</t>
  </si>
  <si>
    <t>CurrentProgressionStateId</t>
  </si>
  <si>
    <t>ReachableStatesAhead</t>
  </si>
  <si>
    <t>ind-a-reyes</t>
  </si>
  <si>
    <t>Ana</t>
  </si>
  <si>
    <t>Reyes</t>
  </si>
  <si>
    <t>European</t>
  </si>
  <si>
    <t>Ana Reyes, a 34-year-old woman of European ancestry (cohort is in the training set), presents with photosensitive malar rash, arthralgia, and a positive ANA, raising concern for SLE onset. Family history is notable for lupus in a maternal aunt. Genotyping finds the IRF5 regulatory variant rs2004640 at an allele frequency of 0.006 (rare), and allele-specific expression is present at the locus. Functional workup of the IRF5 -&gt; type-I interferon -&gt; SLE-risk edge returns a cis-eQTL in blood RNA-seq with effect 0.91 (SE 0.20), a caQTL in blood ATAC-seq with effect 0.73 (SE 0.19), and a pQTL in blood proteomics with effect 0.66 (SE 0.20) — three assays across two omics modalities, all ancestry-PC and batch adjusted. The edge replicates with a positive effect sign in an East Asian cohort (p=0.004) and in an African cohort (p=0.013), while a European replication is directionally consistent but not significant (p=0.18). Two ancestry-permutation negative controls collapse to the null (permutation effect 0.012 and 0.028, well inside the +/-0.1 null band). The IL-interferon target is druggable (anifrolumab, anti-IFNAR1), giving a perturbable intervention target. For SLE-onset risk, the model's reliability bins each carry coverage of 29-34 held-out individuals, with observed event rates tracking predicted bands closely (e.g. 0.09 observed at the 0.1 band, 0.88 at the 0.9 band). No cryptic-relatedness or assortative-mating leakage was flagged.</t>
  </si>
  <si>
    <t>ind-b-okafor</t>
  </si>
  <si>
    <t>Bili</t>
  </si>
  <si>
    <t>Okafor</t>
  </si>
  <si>
    <t>Bili Okafor, a 41-year-old man of European ancestry (in the training set), presents with serositis, fatigue, and a high-titre ANA suggestive of SLE onset. Genotyping finds the IRF5 regulatory variant rs2004640 at an allele frequency of 0.006 (rare), with allele-specific expression present. The IRF5 -&gt; type-I interferon -&gt; SLE-risk edge is supported by a cis-eQTL in blood RNA-seq with effect 0.84 (SE 0.21), a caQTL in blood ATAC-seq with effect 0.79 (SE 0.20), and a pQTL in blood proteomics with effect 0.58 (SE 0.20), spanning two omics modalities and adjusted for ancestry PCs and batch. It replicates positive in an East Asian cohort (p=0.006) and an African cohort (p=0.017), with a non-significant European replication (p=0.22). Two ancestry-permutation controls collapse to the null (permutation effect 0.015 and 0.024 inside +/-0.1). The interferon target is druggable. The mechanism is as solid as Ana's — but the calibration substrate is thin: this site only accrued coverage of 7-14 held-out individuals per reliability bin, far below the 20-count floor needed to trust the predicted-vs-observed match. No cryptic-relatedness leakage was flagged.</t>
  </si>
  <si>
    <t>ind-c-chen</t>
  </si>
  <si>
    <t>Chen</t>
  </si>
  <si>
    <t>Wei</t>
  </si>
  <si>
    <t>East Asian</t>
  </si>
  <si>
    <t>Chen Wei, a 47-year-old woman of East Asian ancestry (in the training set), presents with arthritis, oral ulcers, and anti-dsDNA positivity concerning for SLE onset. Genotyping finds the STAT4 regulatory variant rs7574865 at an allele frequency of 0.008 (rare), with allele-specific expression present. The STAT4 -&gt; Th1/IFN -&gt; SLE-risk edge shows a cis-eQTL in blood RNA-seq with effect 1.02 (SE 0.23), a caQTL in blood ATAC-seq with effect 0.61 (SE 0.20), and a pQTL in blood proteomics with effect 0.55 (SE 0.21), across two modalities, ancestry-PC and batch adjusted. Replication is troubling: the effect is positive in an East Asian cohort (p=0.009) but the SIGN FLIPS to negative in an African cohort (p=0.024), and the European replication is non-significant (p=0.27) — only one concordant cohort. Worse, while one ancestry-permutation control collapses (permutation effect 0.013), a second negative control does NOT collapse: its permutation effect is 0.46, far outside the +/-0.1 null band, so the signal is not separable from permuted noise. Reliability bins carry coverage of 28-32 per bin. No cryptic-relatedness leakage was flagged.</t>
  </si>
  <si>
    <t>ind-d-santos</t>
  </si>
  <si>
    <t>Diego</t>
  </si>
  <si>
    <t>Santos</t>
  </si>
  <si>
    <t>Diego Santos, a 29-year-old man of European ancestry (in the training set), presents with nephritis and a malar rash concerning for SLE onset. Genotyping finds the IRF5 regulatory variant rs2004640 at an allele frequency of 0.006 (rare), with allele-specific expression present. The IRF5 -&gt; type-I interferon -&gt; SLE-risk edge is fully supported: a cis-eQTL in blood RNA-seq with effect 0.88 (SE 0.20), a caQTL in blood ATAC-seq with effect 0.95 (SE 0.21), and a pQTL in blood proteomics with effect 0.62 (SE 0.20), across two modalities and adjusted for ancestry PCs and batch. It replicates positive in an East Asian cohort (p=0.003) and an African cohort (p=0.019), with a non-significant European replication (p=0.16). Two ancestry-permutation controls collapse to the null (permutation effect 0.009 and 0.031 inside +/-0.1). The interferon target is druggable, and reliability bins carry coverage of 30-36 per bin. However, sample QC raised a cryptic-relatedness / assortative-mating flag for this participant: kinship estimates indicate undeclared relatives inside the cohort, so the prediction may be confounded by leakage rather than the mechanism alone.</t>
  </si>
  <si>
    <t>ind-e-mensah</t>
  </si>
  <si>
    <t>Esi</t>
  </si>
  <si>
    <t>Mensah</t>
  </si>
  <si>
    <t>African</t>
  </si>
  <si>
    <t>Esi Mensah, a 38-year-old woman of African ancestry (in the training set), presents with arthralgia and cytopenias concerning for SLE onset. Genotyping finds the CTLA4 enhancer variant rs3087243 at an allele frequency of 0.007 (rare), with allele-specific expression present. The CTLA4 -&gt; T-cell costimulation -&gt; SLE-risk edge is well supported: a cis-eQTL in blood RNA-seq with effect 0.79 (SE 0.21), a caQTL in blood ATAC-seq with effect 0.71 (SE 0.20), and a pQTL in blood proteomics with effect 0.41 (SE 0.20), across two modalities, ancestry-PC and batch adjusted. It replicates positive in an East Asian cohort (p=0.007) and a European cohort (p=0.021), with a non-significant African replication (p=0.19). Two ancestry-permutation controls collapse to the null (permutation effect 0.011 and 0.026 inside +/-0.1), and reliability bins carry coverage of 27-33 per bin. The gap is experimental: no perturbable intervention target has been mapped for this edge — there is no agent or assay that could knock the costimulation node down to test it, so the mechanism is not experimentally falsifiable as stated.</t>
  </si>
  <si>
    <t>ind-f-haidar</t>
  </si>
  <si>
    <t>Faisal</t>
  </si>
  <si>
    <t>Haidar</t>
  </si>
  <si>
    <t>Indigenous American</t>
  </si>
  <si>
    <t>Faisal Haidar, a 31-year-old man of Indigenous American ancestry — an ancestry deliberately HELD OUT of the training set — presents with dactylitis, enthesitis, and nail pitting concerning for psoriatic-arthritis (PsA) onset. Genotyping finds the IL23R regulatory variant rs11209026 at an allele frequency of 0.009 (rare), with allele-specific expression present. The IL23R -&gt; IL-17 axis -&gt; PsA-risk edge is well supported: a cis-eQTL in blood RNA-seq with effect 1.07 (SE 0.20), a caQTL in blood ATAC-seq with effect 0.83 (SE 0.21), and a pQTL in blood proteomics with effect 0.74 (SE 0.20), across two modalities and adjusted for ancestry PCs and batch. The IL-17 target is druggable (secukinumab). Two ancestry-permutation controls collapse to the null (permutation effect 0.008 and 0.022 inside +/-0.1), and reliability bins carry coverage of 30-35 per bin. But every replication of this edge was run in an Indigenous American cohort: p=0.005, p=0.015, and p=0.034, all positive, all in the SAME ancestry. There is no cohort in a DIFFERENT ancestry confirming the effect — so for a patient whose ancestry is absent from training, nothing demonstrates the mechanism transports. No cryptic-relatedness leakage was flagged.</t>
  </si>
  <si>
    <t>ind-g-lin</t>
  </si>
  <si>
    <t>Grace</t>
  </si>
  <si>
    <t>Lin</t>
  </si>
  <si>
    <t>Grace Lin, a 36-year-old woman of Indigenous American ancestry — again an ancestry HELD OUT of the training set — presents with plaque psoriasis and asymmetric oligoarthritis concerning for psoriatic-arthritis (PsA) onset. Genotyping finds the IL23R regulatory variant rs11209026 at an allele frequency of 0.009 (rare), with allele-specific expression present. The IL23R -&gt; IL-17 axis -&gt; PsA-risk edge is well supported: a cis-eQTL in blood RNA-seq with effect 0.96 (SE 0.20), a caQTL in blood ATAC-seq with effect 0.88 (SE 0.21), and a pQTL in blood proteomics with effect 0.69 (SE 0.20), across two modalities and adjusted for ancestry PCs and batch. The IL-17 target is druggable (secukinumab). Two ancestry-permutation controls collapse to the null (permutation effect 0.007 and 0.019 inside +/-0.1), and reliability bins carry coverage of 30-36 per bin. Crucially — and unlike Faisal — this edge was MEASURED to replicate ACROSS ancestries: positive in a European cohort (p=0.004), positive in an East Asian cohort (p=0.012), and positive in an Indigenous American cohort (p=0.029). Because the mechanism demonstrably holds in ancestries other than the held-out one, the prediction transports. No cryptic-relatedness leakage was flagged.</t>
  </si>
  <si>
    <t>ind-h-yamamoto</t>
  </si>
  <si>
    <t>Hana</t>
  </si>
  <si>
    <t>Yamamoto</t>
  </si>
  <si>
    <t>33yo East Asian woman; rising anti-dsDNA with falling complement and new significant proteinuria (0.7 g/day) over one quarter — early lupus nephritis. Progression-demo case (no v1 keystone mechanism attached).</t>
  </si>
  <si>
    <t>ind-i-conteh</t>
  </si>
  <si>
    <t>Ibrahim</t>
  </si>
  <si>
    <t>Conteh</t>
  </si>
  <si>
    <t>45yo African man; brisk serologic activity and proteinuria climbing to 1.5 g/day — at risk of renal flare. Progression-demo case (no v1 keystone mechanism attached).</t>
  </si>
  <si>
    <t>ind-j-brooks</t>
  </si>
  <si>
    <t>Jamal</t>
  </si>
  <si>
    <t>Brooks</t>
  </si>
  <si>
    <t>Hispanic/Latino</t>
  </si>
  <si>
    <t>52yo Hispanic/Latino man; the targeted mechanism is confirmed but the calibration bins are under-covered — uncertainty collapses, so NOT actionable on the calibration gate.</t>
  </si>
  <si>
    <t>ind-k-nair</t>
  </si>
  <si>
    <t>Kavya</t>
  </si>
  <si>
    <t>Nair</t>
  </si>
  <si>
    <t>South Asian</t>
  </si>
  <si>
    <t>39yo South Asian woman, ancestry absent from training; confirmed mechanism but all replications ran in one ancestry — fails ancestry transport, NOT actionable.</t>
  </si>
  <si>
    <t>ind-l-brandt</t>
  </si>
  <si>
    <t>Lena</t>
  </si>
  <si>
    <t>Brandt</t>
  </si>
  <si>
    <t>28yo Indigenous-American woman, holdout ancestry; the positive twin — the IL23R node replicated cross-ancestry, so transport passes and she is actionable.</t>
  </si>
  <si>
    <t>GenomicVariantId</t>
  </si>
  <si>
    <t>VariantLabel</t>
  </si>
  <si>
    <t>Individual</t>
  </si>
  <si>
    <t>VariantType</t>
  </si>
  <si>
    <t>AlleleFrequency</t>
  </si>
  <si>
    <t>HasAlleleSpecificExpression</t>
  </si>
  <si>
    <t>VariantTypeLabel</t>
  </si>
  <si>
    <t>VariantClassIsRare</t>
  </si>
  <si>
    <t>IndividualAncestryLabel</t>
  </si>
  <si>
    <t>IsRareVariant</t>
  </si>
  <si>
    <t>IsCausalCandidate</t>
  </si>
  <si>
    <t>SourceQuote</t>
  </si>
  <si>
    <t>var-a-irf5</t>
  </si>
  <si>
    <t>IRF5 regulatory (rs2004640)</t>
  </si>
  <si>
    <t>IRF5 regulatory variant rs2004640 at an allele frequency of 0.006 (rare), and allele-specific expression is present</t>
  </si>
  <si>
    <t>var-b-irf5</t>
  </si>
  <si>
    <t>IRF5 regulatory variant rs2004640 at an allele frequency of 0.006 (rare), with allele-specific expression present</t>
  </si>
  <si>
    <t>var-c-stat4</t>
  </si>
  <si>
    <t>STAT4 regulatory (rs7574865)</t>
  </si>
  <si>
    <t>STAT4 regulatory variant rs7574865 at an allele frequency of 0.008 (rare), with allele-specific expression present</t>
  </si>
  <si>
    <t>var-d-irf5</t>
  </si>
  <si>
    <t>var-e-ctla4</t>
  </si>
  <si>
    <t>CTLA4 enhancer (rs3087243)</t>
  </si>
  <si>
    <t>CTLA4 enhancer variant rs3087243 at an allele frequency of 0.007 (rare), with allele-specific expression present</t>
  </si>
  <si>
    <t>var-f-il23r</t>
  </si>
  <si>
    <t>IL23R regulatory (rs11209026)</t>
  </si>
  <si>
    <t>IL23R regulatory variant rs11209026 at an allele frequency of 0.009 (rare), with allele-specific expression present</t>
  </si>
  <si>
    <t>var-g-il23r</t>
  </si>
  <si>
    <t>var-h-irf5</t>
  </si>
  <si>
    <t>var-i-irf5</t>
  </si>
  <si>
    <t>var-j-irf5</t>
  </si>
  <si>
    <t>var-k-il23r</t>
  </si>
  <si>
    <t>var-l-il23r</t>
  </si>
  <si>
    <t>OmicsAssayId</t>
  </si>
  <si>
    <t>AssayLabel</t>
  </si>
  <si>
    <t>OmicsModality</t>
  </si>
  <si>
    <t>Tissue</t>
  </si>
  <si>
    <t>BatchId</t>
  </si>
  <si>
    <t>MeasurementErrorScore</t>
  </si>
  <si>
    <t>HasCellStateSpecificEffect</t>
  </si>
  <si>
    <t>HasBatchEffectRisk</t>
  </si>
  <si>
    <t>IsHighQualityAssay</t>
  </si>
  <si>
    <t>EvidenceItems</t>
  </si>
  <si>
    <t>assay-a-rna</t>
  </si>
  <si>
    <t/>
  </si>
  <si>
    <t>b1</t>
  </si>
  <si>
    <t>assay-a-atac</t>
  </si>
  <si>
    <t>assay-a-prot</t>
  </si>
  <si>
    <t>assay-b-rna</t>
  </si>
  <si>
    <t>assay-b-atac</t>
  </si>
  <si>
    <t>assay-b-prot</t>
  </si>
  <si>
    <t>assay-c-rna</t>
  </si>
  <si>
    <t>assay-c-atac</t>
  </si>
  <si>
    <t>assay-c-prot</t>
  </si>
  <si>
    <t>assay-d-rna</t>
  </si>
  <si>
    <t>assay-d-atac</t>
  </si>
  <si>
    <t>assay-d-prot</t>
  </si>
  <si>
    <t>assay-e-rna</t>
  </si>
  <si>
    <t>assay-e-atac</t>
  </si>
  <si>
    <t>assay-e-prot</t>
  </si>
  <si>
    <t>assay-f-rna</t>
  </si>
  <si>
    <t>assay-f-atac</t>
  </si>
  <si>
    <t>assay-f-prot</t>
  </si>
  <si>
    <t>assay-g-rna</t>
  </si>
  <si>
    <t>assay-g-atac</t>
  </si>
  <si>
    <t>assay-g-prot</t>
  </si>
  <si>
    <t>assay-h-rna</t>
  </si>
  <si>
    <t>assay-h-atac</t>
  </si>
  <si>
    <t>assay-h-prot</t>
  </si>
  <si>
    <t>assay-i-rna</t>
  </si>
  <si>
    <t>assay-i-atac</t>
  </si>
  <si>
    <t>assay-i-prot</t>
  </si>
  <si>
    <t>assay-j-rna</t>
  </si>
  <si>
    <t>assay-j-atac</t>
  </si>
  <si>
    <t>assay-j-prot</t>
  </si>
  <si>
    <t>assay-k-rna</t>
  </si>
  <si>
    <t>assay-k-atac</t>
  </si>
  <si>
    <t>assay-k-prot</t>
  </si>
  <si>
    <t>assay-l-rna</t>
  </si>
  <si>
    <t>assay-l-atac</t>
  </si>
  <si>
    <t>assay-l-prot</t>
  </si>
  <si>
    <t>EvidenceItemId</t>
  </si>
  <si>
    <t>EvidenceLabel</t>
  </si>
  <si>
    <t>CausalMechanism</t>
  </si>
  <si>
    <t>OmicsAssay</t>
  </si>
  <si>
    <t>EffectSize</t>
  </si>
  <si>
    <t>StandardError</t>
  </si>
  <si>
    <t>IsCrossModality</t>
  </si>
  <si>
    <t>IsNegativeControlArm</t>
  </si>
  <si>
    <t>IsAdjustedForAncestryPCs</t>
  </si>
  <si>
    <t>IsAdjustedForBatch</t>
  </si>
  <si>
    <t>IsSyntheticLeaf</t>
  </si>
  <si>
    <t>RepresentsAssayModality</t>
  </si>
  <si>
    <t>IdentificationAssumption</t>
  </si>
  <si>
    <t>AssayIsHighQuality</t>
  </si>
  <si>
    <t>ZStat</t>
  </si>
  <si>
    <t>IsConfoundControlled</t>
  </si>
  <si>
    <t>IsQualifiedEvidence</t>
  </si>
  <si>
    <t>ev-a-1</t>
  </si>
  <si>
    <t>cm-a</t>
  </si>
  <si>
    <t>cis-eQTL, blood RNA-seq</t>
  </si>
  <si>
    <t>colocalization PP4&gt;0.8; no horizontal pleiotropy on the eQTL instrument</t>
  </si>
  <si>
    <t>cis-eQTL in blood RNA-seq with effect 0.91 (SE 0.20)</t>
  </si>
  <si>
    <t>ev-a-2</t>
  </si>
  <si>
    <t>caQTL, blood ATAC-seq</t>
  </si>
  <si>
    <t>open-chromatin peak maps to the credible set; cell-state confounding adjusted</t>
  </si>
  <si>
    <t>caQTL in blood ATAC-seq with effect 0.73 (SE 0.19)</t>
  </si>
  <si>
    <t>ev-a-3</t>
  </si>
  <si>
    <t>pQTL, blood mass-spec proteomics</t>
  </si>
  <si>
    <t>cis-pQTL within 1Mb; aptamer/epitope-binding artifact excluded</t>
  </si>
  <si>
    <t>pQTL in blood proteomics with effect 0.66 (SE 0.20)</t>
  </si>
  <si>
    <t>ev-b-1</t>
  </si>
  <si>
    <t>cm-b</t>
  </si>
  <si>
    <t>cis-eQTL in blood RNA-seq with effect 0.84 (SE 0.21)</t>
  </si>
  <si>
    <t>ev-b-2</t>
  </si>
  <si>
    <t>caQTL in blood ATAC-seq with effect 0.79 (SE 0.20)</t>
  </si>
  <si>
    <t>ev-b-3</t>
  </si>
  <si>
    <t>pQTL in blood proteomics with effect 0.58 (SE 0.20)</t>
  </si>
  <si>
    <t>ev-c-1</t>
  </si>
  <si>
    <t>cm-c</t>
  </si>
  <si>
    <t>cis-eQTL in blood RNA-seq with effect 1.02 (SE 0.23)</t>
  </si>
  <si>
    <t>ev-c-2</t>
  </si>
  <si>
    <t>caQTL in blood ATAC-seq with effect 0.61 (SE 0.20)</t>
  </si>
  <si>
    <t>ev-c-3</t>
  </si>
  <si>
    <t>pQTL in blood proteomics with effect 0.55 (SE 0.21)</t>
  </si>
  <si>
    <t>ev-d-1</t>
  </si>
  <si>
    <t>cm-d</t>
  </si>
  <si>
    <t>cis-eQTL in blood RNA-seq with effect 0.88 (SE 0.20)</t>
  </si>
  <si>
    <t>ev-d-2</t>
  </si>
  <si>
    <t>caQTL in blood ATAC-seq with effect 0.95 (SE 0.21)</t>
  </si>
  <si>
    <t>ev-d-3</t>
  </si>
  <si>
    <t>pQTL in blood proteomics with effect 0.62 (SE 0.20)</t>
  </si>
  <si>
    <t>ev-e-1</t>
  </si>
  <si>
    <t>cm-e</t>
  </si>
  <si>
    <t>cis-eQTL in blood RNA-seq with effect 0.79 (SE 0.21)</t>
  </si>
  <si>
    <t>ev-e-2</t>
  </si>
  <si>
    <t>caQTL in blood ATAC-seq with effect 0.71 (SE 0.20)</t>
  </si>
  <si>
    <t>ev-e-3</t>
  </si>
  <si>
    <t>pQTL in blood proteomics with effect 0.41 (SE 0.20)</t>
  </si>
  <si>
    <t>ev-f-1</t>
  </si>
  <si>
    <t>cm-f</t>
  </si>
  <si>
    <t>cis-eQTL in blood RNA-seq with effect 1.07 (SE 0.20)</t>
  </si>
  <si>
    <t>ev-f-2</t>
  </si>
  <si>
    <t>caQTL in blood ATAC-seq with effect 0.83 (SE 0.21)</t>
  </si>
  <si>
    <t>ev-f-3</t>
  </si>
  <si>
    <t>pQTL in blood proteomics with effect 0.74 (SE 0.20)</t>
  </si>
  <si>
    <t>ev-g-1</t>
  </si>
  <si>
    <t>cm-g</t>
  </si>
  <si>
    <t>cis-eQTL in blood RNA-seq with effect 0.96 (SE 0.20)</t>
  </si>
  <si>
    <t>ev-g-2</t>
  </si>
  <si>
    <t>caQTL in blood ATAC-seq with effect 0.88 (SE 0.21)</t>
  </si>
  <si>
    <t>ev-g-3</t>
  </si>
  <si>
    <t>pQTL in blood proteomics with effect 0.69 (SE 0.20)</t>
  </si>
  <si>
    <t>ev-h-1</t>
  </si>
  <si>
    <t>cm-h</t>
  </si>
  <si>
    <t>ev-h-2</t>
  </si>
  <si>
    <t>ev-h-3</t>
  </si>
  <si>
    <t>ev-i-1</t>
  </si>
  <si>
    <t>cm-i</t>
  </si>
  <si>
    <t>ev-i-2</t>
  </si>
  <si>
    <t>ev-i-3</t>
  </si>
  <si>
    <t>ev-j-1</t>
  </si>
  <si>
    <t>cm-j</t>
  </si>
  <si>
    <t>ev-j-2</t>
  </si>
  <si>
    <t>ev-j-3</t>
  </si>
  <si>
    <t>ev-k-1</t>
  </si>
  <si>
    <t>cm-k</t>
  </si>
  <si>
    <t>ev-k-2</t>
  </si>
  <si>
    <t>ev-k-3</t>
  </si>
  <si>
    <t>ev-l-1</t>
  </si>
  <si>
    <t>cm-l</t>
  </si>
  <si>
    <t>ev-l-2</t>
  </si>
  <si>
    <t>ev-l-3</t>
  </si>
  <si>
    <t>CohortReplicationId</t>
  </si>
  <si>
    <t>ReplicationLabel</t>
  </si>
  <si>
    <t>ReplicationEffectSign</t>
  </si>
  <si>
    <t>ReplicationPValue</t>
  </si>
  <si>
    <t>ReplicationAncestryLabel</t>
  </si>
  <si>
    <t>ReplicatedAtNominalSig</t>
  </si>
  <si>
    <t>MechanismPrimaryAncestry</t>
  </si>
  <si>
    <t>IsDifferentAncestryReplication</t>
  </si>
  <si>
    <t>IsCrossAncestryConcordant</t>
  </si>
  <si>
    <t>rep-a-1</t>
  </si>
  <si>
    <t>positive effect sign in an East Asian cohort (p=0.004)</t>
  </si>
  <si>
    <t>rep-a-2</t>
  </si>
  <si>
    <t>in an African cohort (p=0.013)</t>
  </si>
  <si>
    <t>rep-a-3</t>
  </si>
  <si>
    <t>European replication is directionally consistent but not significant (p=0.18)</t>
  </si>
  <si>
    <t>rep-b-1</t>
  </si>
  <si>
    <t>replicates positive in an East Asian cohort (p=0.006)</t>
  </si>
  <si>
    <t>rep-b-2</t>
  </si>
  <si>
    <t>an African cohort (p=0.017)</t>
  </si>
  <si>
    <t>rep-b-3</t>
  </si>
  <si>
    <t>non-significant European replication (p=0.22)</t>
  </si>
  <si>
    <t>rep-c-1</t>
  </si>
  <si>
    <t>positive in an East Asian cohort (p=0.009)</t>
  </si>
  <si>
    <t>rep-c-2</t>
  </si>
  <si>
    <t>SIGN FLIPS to negative in an African cohort (p=0.024)</t>
  </si>
  <si>
    <t>rep-c-3</t>
  </si>
  <si>
    <t>European replication is non-significant (p=0.27)</t>
  </si>
  <si>
    <t>rep-d-1</t>
  </si>
  <si>
    <t>replicates positive in an East Asian cohort (p=0.003)</t>
  </si>
  <si>
    <t>rep-d-2</t>
  </si>
  <si>
    <t>an African cohort (p=0.019)</t>
  </si>
  <si>
    <t>rep-d-3</t>
  </si>
  <si>
    <t>non-significant European replication (p=0.16)</t>
  </si>
  <si>
    <t>rep-e-1</t>
  </si>
  <si>
    <t>replicates positive in an East Asian cohort (p=0.007)</t>
  </si>
  <si>
    <t>rep-e-2</t>
  </si>
  <si>
    <t>a European cohort (p=0.021)</t>
  </si>
  <si>
    <t>rep-e-3</t>
  </si>
  <si>
    <t>non-significant African replication (p=0.19)</t>
  </si>
  <si>
    <t>rep-f-1</t>
  </si>
  <si>
    <t>run in an Indigenous American cohort: p=0.005</t>
  </si>
  <si>
    <t>rep-f-2</t>
  </si>
  <si>
    <t>p=0.015</t>
  </si>
  <si>
    <t>rep-f-3</t>
  </si>
  <si>
    <t>p=0.034, all positive, all in the SAME ancestry</t>
  </si>
  <si>
    <t>rep-g-1</t>
  </si>
  <si>
    <t>positive in a European cohort (p=0.004)</t>
  </si>
  <si>
    <t>rep-g-2</t>
  </si>
  <si>
    <t>positive in an East Asian cohort (p=0.012)</t>
  </si>
  <si>
    <t>rep-g-3</t>
  </si>
  <si>
    <t>positive in an Indigenous American cohort (p=0.029)</t>
  </si>
  <si>
    <t>rep-h-1</t>
  </si>
  <si>
    <t>rep-h-2</t>
  </si>
  <si>
    <t>rep-h-3</t>
  </si>
  <si>
    <t>rep-i-1</t>
  </si>
  <si>
    <t>rep-i-2</t>
  </si>
  <si>
    <t>rep-i-3</t>
  </si>
  <si>
    <t>rep-j-1</t>
  </si>
  <si>
    <t>rep-j-2</t>
  </si>
  <si>
    <t>rep-j-3</t>
  </si>
  <si>
    <t>rep-k-1</t>
  </si>
  <si>
    <t>rep-k-2</t>
  </si>
  <si>
    <t>rep-k-3</t>
  </si>
  <si>
    <t>rep-l-1</t>
  </si>
  <si>
    <t>rep-l-2</t>
  </si>
  <si>
    <t>rep-l-3</t>
  </si>
  <si>
    <t>NegativeControlTestId</t>
  </si>
  <si>
    <t>ControlLabel</t>
  </si>
  <si>
    <t>TestKind</t>
  </si>
  <si>
    <t>PermutationEffectSize</t>
  </si>
  <si>
    <t>NullThreshold</t>
  </si>
  <si>
    <t>IsSurvived</t>
  </si>
  <si>
    <t>nct-a-1</t>
  </si>
  <si>
    <t>ancestry-permutation</t>
  </si>
  <si>
    <t>permutation effect 0.012 and 0.028 inside +/-0.1</t>
  </si>
  <si>
    <t>nct-a-2</t>
  </si>
  <si>
    <t>nct-b-1</t>
  </si>
  <si>
    <t>permutation effect 0.015 and 0.024 inside +/-0.1</t>
  </si>
  <si>
    <t>nct-b-2</t>
  </si>
  <si>
    <t>nct-d-1</t>
  </si>
  <si>
    <t>permutation effect 0.009 and 0.031 inside +/-0.1</t>
  </si>
  <si>
    <t>nct-d-2</t>
  </si>
  <si>
    <t>nct-e-1</t>
  </si>
  <si>
    <t>permutation effect 0.011 and 0.026 inside +/-0.1</t>
  </si>
  <si>
    <t>nct-e-2</t>
  </si>
  <si>
    <t>nct-f-1</t>
  </si>
  <si>
    <t>permutation effect 0.008 and 0.022 inside +/-0.1</t>
  </si>
  <si>
    <t>nct-f-2</t>
  </si>
  <si>
    <t>nct-g-1</t>
  </si>
  <si>
    <t>permutation effect 0.007 and 0.019 inside +/-0.1</t>
  </si>
  <si>
    <t>nct-g-2</t>
  </si>
  <si>
    <t>nct-c-1</t>
  </si>
  <si>
    <t>one ancestry-permutation control collapses (permutation effect 0.013)</t>
  </si>
  <si>
    <t>nct-c-2</t>
  </si>
  <si>
    <t>its permutation effect is 0.46, far outside the +/-0.1 null band</t>
  </si>
  <si>
    <t>nct-h-1</t>
  </si>
  <si>
    <t>nct-h-2</t>
  </si>
  <si>
    <t>nct-i-1</t>
  </si>
  <si>
    <t>nct-i-2</t>
  </si>
  <si>
    <t>nct-j-1</t>
  </si>
  <si>
    <t>nct-j-2</t>
  </si>
  <si>
    <t>nct-k-1</t>
  </si>
  <si>
    <t>nct-k-2</t>
  </si>
  <si>
    <t>nct-l-1</t>
  </si>
  <si>
    <t>nct-l-2</t>
  </si>
  <si>
    <t>EnvironmentalExposureId</t>
  </si>
  <si>
    <t>ExposureLabel</t>
  </si>
  <si>
    <t>ExposureLevel</t>
  </si>
  <si>
    <t>ExposureStartDate</t>
  </si>
  <si>
    <t>IsMaternalEffect</t>
  </si>
  <si>
    <t>IsHighExposure</t>
  </si>
  <si>
    <t>exp-context</t>
  </si>
  <si>
    <t>Smoking pack-years (context only)</t>
  </si>
  <si>
    <t>TreatmentId</t>
  </si>
  <si>
    <t>TreatmentLabel</t>
  </si>
  <si>
    <t>TargetsMechanism</t>
  </si>
  <si>
    <t>TreatmentResponse</t>
  </si>
  <si>
    <t>HasTreatmentInducedChange</t>
  </si>
  <si>
    <t>HasAdverseEffect</t>
  </si>
  <si>
    <t>StartDate</t>
  </si>
  <si>
    <t>AutoimmuneDiseaseLabel</t>
  </si>
  <si>
    <t>IsEffectiveTreatment</t>
  </si>
  <si>
    <t>IsMechanismMatched</t>
  </si>
  <si>
    <t>IsTreatmentResponsePredicted</t>
  </si>
  <si>
    <t>TreatmentResponseDecidingFactor</t>
  </si>
  <si>
    <t>tx-a</t>
  </si>
  <si>
    <t>Anifrolumab (anti-IFNAR1)</t>
  </si>
  <si>
    <t>Partial</t>
  </si>
  <si>
    <t>tx-b</t>
  </si>
  <si>
    <t>Complete</t>
  </si>
  <si>
    <t>tx-c</t>
  </si>
  <si>
    <t>STAT4-pathway inhibitor (trial)</t>
  </si>
  <si>
    <t>tx-d</t>
  </si>
  <si>
    <t>tx-e</t>
  </si>
  <si>
    <t>CTLA4-Ig (abatacept, off-target)</t>
  </si>
  <si>
    <t>None</t>
  </si>
  <si>
    <t>tx-f</t>
  </si>
  <si>
    <t>Secukinumab (anti-IL-17)</t>
  </si>
  <si>
    <t>tx-g</t>
  </si>
  <si>
    <t>tx-h</t>
  </si>
  <si>
    <t>tx-i</t>
  </si>
  <si>
    <t>tx-j</t>
  </si>
  <si>
    <t>tx-k</t>
  </si>
  <si>
    <t>tx-l</t>
  </si>
  <si>
    <t>ClinicalPhenotypeId</t>
  </si>
  <si>
    <t>PhenotypeLabel</t>
  </si>
  <si>
    <t>DiseaseStage</t>
  </si>
  <si>
    <t>SeverityScore</t>
  </si>
  <si>
    <t>MeasurementDate</t>
  </si>
  <si>
    <t>HasImmuneDysfunction</t>
  </si>
  <si>
    <t>DiseaseStageLabel</t>
  </si>
  <si>
    <t>IsHighSeverity</t>
  </si>
  <si>
    <t>IsPresymptomaticPhenotype</t>
  </si>
  <si>
    <t>ph-sev-a</t>
  </si>
  <si>
    <t>Active SLE — high disease-activity (SLEDAI-equiv) severity</t>
  </si>
  <si>
    <t>ph-sev-b</t>
  </si>
  <si>
    <t>Active SLE — serositis + high disease activity</t>
  </si>
  <si>
    <t>ph-sev-c</t>
  </si>
  <si>
    <t>Active SLE — arthritis + anti-dsDNA high activity</t>
  </si>
  <si>
    <t>ph-sev-d</t>
  </si>
  <si>
    <t>Active SLE — biopsy-confirmed nephritis (high severity)</t>
  </si>
  <si>
    <t>ph-sev-e</t>
  </si>
  <si>
    <t>SLE — mild cytopenias, low disease activity</t>
  </si>
  <si>
    <t>ph-sev-f</t>
  </si>
  <si>
    <t>PsA — minimal joint involvement, mild</t>
  </si>
  <si>
    <t>ph-sev-g</t>
  </si>
  <si>
    <t>PsA — moderate plaque + oligoarthritis</t>
  </si>
  <si>
    <t>ph-sev-h</t>
  </si>
  <si>
    <t>ph-sev-i</t>
  </si>
  <si>
    <t>ph-sev-j</t>
  </si>
  <si>
    <t>ph-sev-k</t>
  </si>
  <si>
    <t>ph-sev-l</t>
  </si>
  <si>
    <t>CausalMechanismId</t>
  </si>
  <si>
    <t>MechanismLabel</t>
  </si>
  <si>
    <t>GenomicVariant</t>
  </si>
  <si>
    <t>EnvironmentalExposure</t>
  </si>
  <si>
    <t>MechanismType</t>
  </si>
  <si>
    <t>HasPleiotropy</t>
  </si>
  <si>
    <t>CountQualifiedEvidence</t>
  </si>
  <si>
    <t>CountModalitiesSupporting</t>
  </si>
  <si>
    <t>CountInterventionTargets</t>
  </si>
  <si>
    <t>IsExperimentallyFalsifiable</t>
  </si>
  <si>
    <t>CountReplications</t>
  </si>
  <si>
    <t>CountConcordantReplications</t>
  </si>
  <si>
    <t>CountCrossAncestryConcordant</t>
  </si>
  <si>
    <t>ReplicationFraction</t>
  </si>
  <si>
    <t>ReplicatesAcrossCohorts</t>
  </si>
  <si>
    <t>CountNegControlTests</t>
  </si>
  <si>
    <t>CountNegControlSurvived</t>
  </si>
  <si>
    <t>SurvivesNegativeControls</t>
  </si>
  <si>
    <t>IsSpuriousDerived</t>
  </si>
  <si>
    <t>CausalConfidence</t>
  </si>
  <si>
    <t>VariantIsCausalCandidate</t>
  </si>
  <si>
    <t>IsCausalArchitectureNode</t>
  </si>
  <si>
    <t>IsAncestryTransportable</t>
  </si>
  <si>
    <t>NegativeControlTests</t>
  </si>
  <si>
    <t>IRF5 regulatory -&gt; type-I IFN -&gt; SLE risk</t>
  </si>
  <si>
    <t>type-I-IFN</t>
  </si>
  <si>
    <t>STAT4 regulatory -&gt; Th1/IFN -&gt; SLE risk</t>
  </si>
  <si>
    <t>B-cell/autoantibody</t>
  </si>
  <si>
    <t>CTLA4 enhancer -&gt; T-cell costimulation -&gt; SLE risk</t>
  </si>
  <si>
    <t>T-cell-costim</t>
  </si>
  <si>
    <t>IL23R regulatory -&gt; IL-17 axis -&gt; PsA risk</t>
  </si>
  <si>
    <t>IL-17/23</t>
  </si>
  <si>
    <t>EpistaticInteractionId</t>
  </si>
  <si>
    <t>InteractionLabel</t>
  </si>
  <si>
    <t>PrimaryVariant</t>
  </si>
  <si>
    <t>SecondaryVariant</t>
  </si>
  <si>
    <t>EpistasisScore</t>
  </si>
  <si>
    <t>IsHighOrderEpistasis</t>
  </si>
  <si>
    <t>epi-context</t>
  </si>
  <si>
    <t>IRF5 x STAT4 (context only)</t>
  </si>
  <si>
    <t>CounterfactualTrajectoryId</t>
  </si>
  <si>
    <t>TrajectoryLabel</t>
  </si>
  <si>
    <t>ProjectedSeverity</t>
  </si>
  <si>
    <t>HorizonMonths</t>
  </si>
  <si>
    <t>InterventionApplied</t>
  </si>
  <si>
    <t>IsWorseningTrajectory</t>
  </si>
  <si>
    <t>cf-context</t>
  </si>
  <si>
    <t>Untreated SLE projection (context only)</t>
  </si>
  <si>
    <t>none</t>
  </si>
  <si>
    <t>IndividualPredictionId</t>
  </si>
  <si>
    <t>PredictionLabel</t>
  </si>
  <si>
    <t>PredictionType</t>
  </si>
  <si>
    <t>IsAncestryHoldout</t>
  </si>
  <si>
    <t>IndividualCausalMass</t>
  </si>
  <si>
    <t>IndividualConfirmedNodeCount</t>
  </si>
  <si>
    <t>IndividualCrossAncestryNodeCount</t>
  </si>
  <si>
    <t>IndividualHasCrypticRelatedness</t>
  </si>
  <si>
    <t>IndividualMaxSeverityScore</t>
  </si>
  <si>
    <t>IndividualHasHighSeverityPhenotype</t>
  </si>
  <si>
    <t>IndividualHasPredictedTreatmentResponse</t>
  </si>
  <si>
    <t>PredictedValue</t>
  </si>
  <si>
    <t>CountBins</t>
  </si>
  <si>
    <t>CountWellCalibratedBins</t>
  </si>
  <si>
    <t>SumBinAbsError</t>
  </si>
  <si>
    <t>MeanBinAbsError</t>
  </si>
  <si>
    <t>WellCalibratedFraction</t>
  </si>
  <si>
    <t>CalibratedUncertainty</t>
  </si>
  <si>
    <t>RestsOnConfirmedMechanism</t>
  </si>
  <si>
    <t>HasSpuriousCorrelationFlag</t>
  </si>
  <si>
    <t>IsFalsifiabilityBacked</t>
  </si>
  <si>
    <t>IsTransportableToAbsentAncestry</t>
  </si>
  <si>
    <t>IsAncestryTransportSafe</t>
  </si>
  <si>
    <t>TransportGateStatus</t>
  </si>
  <si>
    <t>IsHighConfidencePrediction</t>
  </si>
  <si>
    <t>PatientStratificationTier</t>
  </si>
  <si>
    <t>PredictedSeverityValue</t>
  </si>
  <si>
    <t>SeverityTier</t>
  </si>
  <si>
    <t>IsSeverityActionable</t>
  </si>
  <si>
    <t>SeverityDecidingFactor</t>
  </si>
  <si>
    <t>IsTreatmentResponseActionable</t>
  </si>
  <si>
    <t>IsClinicallyActionable</t>
  </si>
  <si>
    <t>LifecycleStateKey</t>
  </si>
  <si>
    <t>DecidingGate</t>
  </si>
  <si>
    <t>CalibrationBins</t>
  </si>
  <si>
    <t>IndividualTargetPathway</t>
  </si>
  <si>
    <t>IndividualProgressionStateKey</t>
  </si>
  <si>
    <t>IndividualIsDiseaseProgressing</t>
  </si>
  <si>
    <t>RecommendedTreatmentLine</t>
  </si>
  <si>
    <t>TreatmentLineDecidingFactor</t>
  </si>
  <si>
    <t>ProgressionVsActionabilityDisagree</t>
  </si>
  <si>
    <t>pred-a</t>
  </si>
  <si>
    <t>Onset</t>
  </si>
  <si>
    <t>pred-b</t>
  </si>
  <si>
    <t>pred-c</t>
  </si>
  <si>
    <t>pred-d</t>
  </si>
  <si>
    <t>pred-e</t>
  </si>
  <si>
    <t>pred-f</t>
  </si>
  <si>
    <t>pred-g</t>
  </si>
  <si>
    <t>pred-h</t>
  </si>
  <si>
    <t>pred-i</t>
  </si>
  <si>
    <t>pred-j</t>
  </si>
  <si>
    <t>pred-k</t>
  </si>
  <si>
    <t>pred-l</t>
  </si>
  <si>
    <t>CalibrationBinId</t>
  </si>
  <si>
    <t>BinLabel</t>
  </si>
  <si>
    <t>IndividualPrediction</t>
  </si>
  <si>
    <t>PredictedProbabilityBand</t>
  </si>
  <si>
    <t>ObservedEventRate</t>
  </si>
  <si>
    <t>CoverageCount</t>
  </si>
  <si>
    <t>BinAbsError</t>
  </si>
  <si>
    <t>IsWellCalibratedBin</t>
  </si>
  <si>
    <t>cb-a-0</t>
  </si>
  <si>
    <t>coverage of 29-34 held-out individuals per reliability bin</t>
  </si>
  <si>
    <t>cb-a-1</t>
  </si>
  <si>
    <t>cb-a-2</t>
  </si>
  <si>
    <t>cb-a-3</t>
  </si>
  <si>
    <t>cb-a-4</t>
  </si>
  <si>
    <t>cb-c-0</t>
  </si>
  <si>
    <t>coverage of 28-32 held-out individuals per reliability bin</t>
  </si>
  <si>
    <t>cb-c-1</t>
  </si>
  <si>
    <t>cb-c-2</t>
  </si>
  <si>
    <t>cb-c-3</t>
  </si>
  <si>
    <t>cb-c-4</t>
  </si>
  <si>
    <t>cb-d-0</t>
  </si>
  <si>
    <t>coverage of 30-36 held-out individuals per reliability bin</t>
  </si>
  <si>
    <t>cb-d-1</t>
  </si>
  <si>
    <t>cb-d-2</t>
  </si>
  <si>
    <t>cb-d-3</t>
  </si>
  <si>
    <t>cb-d-4</t>
  </si>
  <si>
    <t>cb-e-0</t>
  </si>
  <si>
    <t>coverage of 27-33 held-out individuals per reliability bin</t>
  </si>
  <si>
    <t>cb-e-1</t>
  </si>
  <si>
    <t>cb-e-2</t>
  </si>
  <si>
    <t>cb-e-3</t>
  </si>
  <si>
    <t>cb-e-4</t>
  </si>
  <si>
    <t>cb-f-0</t>
  </si>
  <si>
    <t>coverage of 30-35 held-out individuals per reliability bin</t>
  </si>
  <si>
    <t>cb-f-1</t>
  </si>
  <si>
    <t>cb-f-2</t>
  </si>
  <si>
    <t>cb-f-3</t>
  </si>
  <si>
    <t>cb-f-4</t>
  </si>
  <si>
    <t>cb-g-0</t>
  </si>
  <si>
    <t>cb-g-1</t>
  </si>
  <si>
    <t>cb-g-2</t>
  </si>
  <si>
    <t>cb-g-3</t>
  </si>
  <si>
    <t>cb-g-4</t>
  </si>
  <si>
    <t>cb-b-0</t>
  </si>
  <si>
    <t>coverage of 7-14 held-out individuals per reliability bin</t>
  </si>
  <si>
    <t>cb-b-1</t>
  </si>
  <si>
    <t>cb-b-2</t>
  </si>
  <si>
    <t>cb-b-3</t>
  </si>
  <si>
    <t>cb-b-4</t>
  </si>
  <si>
    <t>cb-h-0</t>
  </si>
  <si>
    <t>cb-h-1</t>
  </si>
  <si>
    <t>cb-h-2</t>
  </si>
  <si>
    <t>cb-h-3</t>
  </si>
  <si>
    <t>cb-h-4</t>
  </si>
  <si>
    <t>cb-i-0</t>
  </si>
  <si>
    <t>cb-i-1</t>
  </si>
  <si>
    <t>cb-i-2</t>
  </si>
  <si>
    <t>cb-i-3</t>
  </si>
  <si>
    <t>cb-i-4</t>
  </si>
  <si>
    <t>cb-j-0</t>
  </si>
  <si>
    <t>cb-j-1</t>
  </si>
  <si>
    <t>cb-j-2</t>
  </si>
  <si>
    <t>cb-j-3</t>
  </si>
  <si>
    <t>cb-j-4</t>
  </si>
  <si>
    <t>cb-k-0</t>
  </si>
  <si>
    <t>cb-k-1</t>
  </si>
  <si>
    <t>cb-k-2</t>
  </si>
  <si>
    <t>cb-k-3</t>
  </si>
  <si>
    <t>cb-k-4</t>
  </si>
  <si>
    <t>cb-l-0</t>
  </si>
  <si>
    <t>cb-l-1</t>
  </si>
  <si>
    <t>cb-l-2</t>
  </si>
  <si>
    <t>cb-l-3</t>
  </si>
  <si>
    <t>cb-l-4</t>
  </si>
  <si>
    <t>InterventionTargetId</t>
  </si>
  <si>
    <t>TargetLabel</t>
  </si>
  <si>
    <t>TherapyClass</t>
  </si>
  <si>
    <t>IsValidated</t>
  </si>
  <si>
    <t>CausalMechanismLabel</t>
  </si>
  <si>
    <t>IsGeneBasedTherapy</t>
  </si>
  <si>
    <t>IsCellBasedTherapy</t>
  </si>
  <si>
    <t>it-a</t>
  </si>
  <si>
    <t>IRF5 Regulatory Modulation</t>
  </si>
  <si>
    <t>Gene-based</t>
  </si>
  <si>
    <t>it-b</t>
  </si>
  <si>
    <t>it-c</t>
  </si>
  <si>
    <t>STAT4 Pathway Modulation</t>
  </si>
  <si>
    <t>it-d</t>
  </si>
  <si>
    <t>it-f</t>
  </si>
  <si>
    <t>IL-17 Pathway Blockade (secukinumab)</t>
  </si>
  <si>
    <t>Cell-based</t>
  </si>
  <si>
    <t>it-g</t>
  </si>
  <si>
    <t>it-h</t>
  </si>
  <si>
    <t>it-i</t>
  </si>
  <si>
    <t>it-j</t>
  </si>
  <si>
    <t>it-k</t>
  </si>
  <si>
    <t>it-l</t>
  </si>
  <si>
    <t>AxiomId</t>
  </si>
  <si>
    <t>Statement</t>
  </si>
  <si>
    <t>Rationale</t>
  </si>
  <si>
    <t>Category</t>
  </si>
  <si>
    <t>ax-llm-no-vote</t>
  </si>
  <si>
    <t>The LLM never gets a vote on the conclusion.</t>
  </si>
  <si>
    <t>Demotes the model to intake-clerk + lab; the verdict is the deterministic DAG's, never the model's.</t>
  </si>
  <si>
    <t>trust-boundary</t>
  </si>
  <si>
    <t>ax-keystone-computed</t>
  </si>
  <si>
    <t>IsClinicallyActionable is computed, never entered.</t>
  </si>
  <si>
    <t>No field a curator (human or LLM) can set to make the diagnosis come out right.</t>
  </si>
  <si>
    <t>solve-by-inference</t>
  </si>
  <si>
    <t>ax-line-in-dag</t>
  </si>
  <si>
    <t>The trust boundary is a line in the DAG: fields with a formula are the model's; raw-input leaf fields are the LLM's (or a human's).</t>
  </si>
  <si>
    <t>Makes the boundary mechanically checkable rather than a vibe.</t>
  </si>
  <si>
    <t>ax-llm-leaves-only</t>
  </si>
  <si>
    <t>The LLM does exactly two things, both at the leaf layer: interpret intake facts, and produce synthetic-but-transparent test results.</t>
  </si>
  <si>
    <t>Intake clerk + lab — the un-alarming medical roles. It computes no higher-order inference.</t>
  </si>
  <si>
    <t>ax-every-choice-knob</t>
  </si>
  <si>
    <t>Every choice the LLM makes is a literal, editable knob in the admin UI.</t>
  </si>
  <si>
    <t>The model's judgment is fully externalized; a wrong input is nudged, not re-prompted.</t>
  </si>
  <si>
    <t>knob</t>
  </si>
  <si>
    <t>ax-formula-local-edit</t>
  </si>
  <si>
    <t>Every DAG formula is inspectable and correctable in place, like a spreadsheet cell.</t>
  </si>
  <si>
    <t>Editing a value or formula body is local to its dependency subtree; only retyping/regraphing ripples.</t>
  </si>
  <si>
    <t>ax-independent-witness</t>
  </si>
  <si>
    <t>Extraction and derivation are verifiable independently (three-panel witness).</t>
  </si>
  <si>
    <t>Input case text -&gt; extracted facts w/ provenance -&gt; deterministic diagnosis. Defeats the laundering objection.</t>
  </si>
  <si>
    <t>witness</t>
  </si>
  <si>
    <t>ax-both-verdicts</t>
  </si>
  <si>
    <t>The same deterministic machine must land on either side and name the single deciding gate.</t>
  </si>
  <si>
    <t>An engine that only ever says "actionable" proves nothing.</t>
  </si>
  <si>
    <t>ax-report-derived-not-prose</t>
  </si>
  <si>
    <t>The diagnosis report is derived, never authored as prose; it is structured natural language assembled from the DAG.</t>
  </si>
  <si>
    <t>A prose writeup would be a second, unwitnessed surface where a hallucination could hide. The report must be a deterministic projection of facts already in the graph, the same way Postgres views are.</t>
  </si>
  <si>
    <t>report-derivation</t>
  </si>
  <si>
    <t>ax-report-total-coverage</t>
  </si>
  <si>
    <t>Every word the patient gave us, and every node linked to that patient in the DAG down to ground truth, is represented somewhere in that patient's report.</t>
  </si>
  <si>
    <t>Completeness is the whole point: nothing the patient said and no derived fact may silently vanish from the writeup. If a value mattered enough to enter the DAG, it earns a sentence (or a deliberate, predicate-suppressed absence).</t>
  </si>
  <si>
    <t>ax-report-cell-simple</t>
  </si>
  <si>
    <t>No single piece of report language is more complex than one spreadsheet cell: it references sibling values directly and does no joins or group-bys.</t>
  </si>
  <si>
    <t>CMCC/SDLAF discipline. A narrative fragment is a calculated field on a row; it reads other fields of that same row (and global phrases from __meta), never traverses or aggregates. Complex sentences are decomposed into constituent fragment fields, each one cell-simple.</t>
  </si>
  <si>
    <t>ax-report-predicate-gated</t>
  </si>
  <si>
    <t>A fragment's language only appears when its predicates hold for that row; irrelevant language is suppressed per case.</t>
  </si>
  <si>
    <t>Case-by-case, not a globally imposed template. The same field yields "normal temperature", "light fever", or "severe fever" depending on the row's own value; a fragment whose predicate is false renders empty and contributes nothing to that patient's report.</t>
  </si>
  <si>
    <t>ax-report-intermediate-translations</t>
  </si>
  <si>
    <t>Complex language is built from intermediate translation fields: calculated text fragments composed from other predicates on the same row, then composed upward.</t>
  </si>
  <si>
    <t>The way to keep every piece cell-simple is to pull a complex sentence apart into its constituent fragments, each its own field, and let higher fragments reference lower ones. The report is the top of that composition, not a monolith.</t>
  </si>
  <si>
    <t>ax-report-reuse-global-phrases</t>
  </si>
  <si>
    <t>Common, reusable language lives once in the __meta settings table and is referenced by fragments; it is not re-implemented per case.</t>
  </si>
  <si>
    <t>Literal global phrases ("The patient presented with…") and shared banding vocabulary belong in __meta so they are authored and corrected in one place. Fragments reference them; the per-row logic stays contextual while the wording stays DRY.</t>
  </si>
  <si>
    <t>ax-schema-rulespeak-report-derived</t>
  </si>
  <si>
    <t>The schema may be expressed in RuleSpeak-style language, but the diagnosis report itself is derived (rendered), not declared.</t>
  </si>
  <si>
    <t>RuleSpeak documents the rules; it is not the patient-facing artifact. The report is a rendered projection of each patient's row values through the fragment fields — generated by a thin renderer that only concatenates already-derived, predicate-gated fragments in order.</t>
  </si>
  <si>
    <t>TestForSuccessId</t>
  </si>
  <si>
    <t>Claim</t>
  </si>
  <si>
    <t>HowWitnessed</t>
  </si>
  <si>
    <t>RelatedHarnessFile</t>
  </si>
  <si>
    <t>Status</t>
  </si>
  <si>
    <t>tfs-one-gate-each</t>
  </si>
  <si>
    <t>Five of seven patients fail, each on exactly one gate.</t>
  </si>
  <si>
    <t>Coverage matrix in scenarios.md; L6/L7 harness assert the deciding gate per patient.</t>
  </si>
  <si>
    <t>admin-app/tests/L6-gates.test.js</t>
  </si>
  <si>
    <t>red</t>
  </si>
  <si>
    <t>tfs-both-sides</t>
  </si>
  <si>
    <t>The same machine produces TRUE for {A,G} and FALSE for {B,C,D,E,F}.</t>
  </si>
  <si>
    <t>L7-cohort.test.js asserts exactly {A,G} actionable as a set.</t>
  </si>
  <si>
    <t>admin-app/tests/L7-cohort.test.js</t>
  </si>
  <si>
    <t>tfs-no-hand-entry</t>
  </si>
  <si>
    <t>Raw facts alone derive the keystone with no hand-entered answer anywhere.</t>
  </si>
  <si>
    <t>Every leaf in the harness is a raw observation; keystone == AND(gates) cross-check.</t>
  </si>
  <si>
    <t>admin-app/tests/L7-keystone.test.js</t>
  </si>
  <si>
    <t>tfs-extraction-faithful</t>
  </si>
  <si>
    <t>Extracted leaf facts are checkable against the source case text, independently of the verdict.</t>
  </si>
  <si>
    <t>Three-panel witness view: per-fact provenance pointer back into the case text.</t>
  </si>
  <si>
    <t>planned</t>
  </si>
  <si>
    <t>tfs-all-seven</t>
  </si>
  <si>
    <t>All seven oracle patients resolve to their expected keystone value.</t>
  </si>
  <si>
    <t>Build verification asserts the scenarios.md oracle against vw_individualpredictions.</t>
  </si>
  <si>
    <t>tfs-witnessed-reasoning</t>
  </si>
  <si>
    <t>Each derived node carries an expert-verifiable line of reasoning.</t>
  </si>
  <si>
    <t>Derivation trace from derivation-spec.md printed in every test name/failure.</t>
  </si>
  <si>
    <t>admin-app/tests/README.md</t>
  </si>
  <si>
    <t>tfs-report-covers-every-word</t>
  </si>
  <si>
    <t>Every word the patient gave us appears somewhere in that patient's derived report (no patient input is dropped).</t>
  </si>
  <si>
    <t>Coverage check: tokenize each patient's source intake text; assert each meaningful token is traceable into at least one rendered report fragment (directly quoted or its derived translation).</t>
  </si>
  <si>
    <t>admin-app/tests/report-coverage.test.js</t>
  </si>
  <si>
    <t>tfs-report-covers-every-dag-node</t>
  </si>
  <si>
    <t>Every DAG node linked to a patient, down to ground truth, is represented somewhere in that patient's report.</t>
  </si>
  <si>
    <t>Walk the patient's subgraph (keystone -&gt; gates -&gt; evidence -&gt; raw leaves); assert each visited node contributes at least one rendered fragment, or is deliberately suppressed by a false predicate that the report names.</t>
  </si>
  <si>
    <t>tfs-report-cell-simple</t>
  </si>
  <si>
    <t>No narrative fragment field traverses, joins, or aggregates; each reads only sibling fields of its own row plus __meta__ phrases.</t>
  </si>
  <si>
    <t>Static lint over fragment formulas: reject any formula that references another table or a rollup/lookup across rows; fragments may reference {{SiblingField}} and __meta__ keys only.</t>
  </si>
  <si>
    <t>admin-app/tests/report-fragments.test.js</t>
  </si>
  <si>
    <t>tfs-report-deterministic</t>
  </si>
  <si>
    <t>The same patient row always renders the byte-identical report; the report is a pure projection of the DAG with no model in the loop.</t>
  </si>
  <si>
    <t>Render each patient twice and diff; assert zero difference and that the renderer makes no LLM/network calls.</t>
  </si>
  <si>
    <t>admin-app/tests/report-deterministic.test.js</t>
  </si>
  <si>
    <t>FeatureId</t>
  </si>
  <si>
    <t>Title</t>
  </si>
  <si>
    <t>Priority</t>
  </si>
  <si>
    <t>Description</t>
  </si>
  <si>
    <t>ChallengeRefs</t>
  </si>
  <si>
    <t>ChallengeRefsRendered</t>
  </si>
  <si>
    <t>ChallengeNotes</t>
  </si>
  <si>
    <t>RefCount</t>
  </si>
  <si>
    <t>AssignedLoop</t>
  </si>
  <si>
    <t>MetaLine</t>
  </si>
  <si>
    <t>feat-keystone-actionability-gate</t>
  </si>
  <si>
    <t>Four-gate clinical-actionability keystone</t>
  </si>
  <si>
    <t>Keystone / inference DAG</t>
  </si>
  <si>
    <t>Load-bearing</t>
  </si>
  <si>
    <t>The entire system reduces to one computed boolean, `IndividualPredictions.IsClinicallyActionable`, TRUE only when all four derived gates hold (causally grounded, well-calibrated, non-spurious, ancestry-generalizable). Computed from a pure formula DAG, never entered. Seven synthetic patients land on both sides; each failure names the single deciding gate.</t>
  </si>
  <si>
    <t>[{"file": "THE-ORIGINAL-CHALLENGE.md", "line": 6, "col": 223, "len": 87, "quote": "individualized prevention, presymptomatic diagnosis, ancestry-equitable risk prediction", "section": "payoff", "relation": "direct"}, {"file": "THE-ORIGINAL-CHALLENGE.md", "line": 4, "col": 1608, "len": 68, "quote": "with calibrated uncertainty and no reliance on spurious correlations", "section": "prompt", "relation": "direct"}, {"file": "THE-ORIGINAL-CHALLENGE.md", "line": 4, "col": 351, "len": 79, "quote": "identify the complete causal architecture of a heterogeneous autoimmune disease", "section": "prompt", "relation": "indirect"}]</t>
  </si>
  <si>
    <t xml:space="preserve">- **directly addresses** (payoff, `THE-ORIGINAL-CHALLENGE.md` L6:223+87): _individualized prevention, presymptomatic diagnosis, ancestry-equitable risk prediction_
- **directly addresses** (prompt, `THE-ORIGINAL-CHALLENGE.md` L4:1608+68): _with calibrated uncertainty and no reliance on spurious correlations_
- **indirectly supports** (prompt, `THE-ORIGINAL-CHALLENGE.md` L4:351+79): _identify the complete causal architecture of a heterogeneous autoimmune disease_</t>
  </si>
  <si>
    <t>This is the north-star reduction. It directly operationalizes the payoff paragraph's "individualized... ancestry-equitable... actionable prediction" and the prompt's demand for *calibrated uncertainty and no reliance on spurious correlations*. The four gates are the four hardest constraints in the prompt, each made a falsifiable boolean rather than a promise.</t>
  </si>
  <si>
    <t>feat-trust-boundary-line-in-dag</t>
  </si>
  <si>
    <t>Trust boundary as a line in the DAG</t>
  </si>
  <si>
    <t>Any field with a formula belongs to the model; any raw-input field is the human's (or the LLM's, as an overridable front-end). Every Z-stat, gate, and the keystone is a pure inspectable formula; nothing above the leaves is enterable. The trust boundary is literally an edge in the dependency graph.</t>
  </si>
  <si>
    <t>[{"file": "THE-ORIGINAL-CHALLENGE.md", "line": 4, "col": 1608, "len": 68, "quote": "with calibrated uncertainty and no reliance on spurious correlations", "section": "prompt", "relation": "direct"}, {"file": "THE-ORIGINAL-CHALLENGE.md", "line": 66, "col": 191, "len": 37, "quote": "decomposes into inspectable structure", "section": "response", "relation": "indirect"}]</t>
  </si>
  <si>
    <t xml:space="preserve">- **directly addresses** (prompt, `THE-ORIGINAL-CHALLENGE.md` L4:1608+68): _with calibrated uncertainty and no reliance on spurious correlations_
- **indirectly supports** (response, `THE-ORIGINAL-CHALLENGE.md` L66:191+37): _decomposes into inspectable structure_</t>
  </si>
  <si>
    <t>This is the conceptual spine that makes the whole platform auditable rather than 'an LLM that diagnoses'. It is what lets the system claim *no reliance on spurious correlations* structurally (the V2 response: known reasoning *decomposes into inspectable structure*).</t>
  </si>
  <si>
    <t>feat-llm-intake-clerk</t>
  </si>
  <si>
    <t>LLM intake clerk</t>
  </si>
  <si>
    <t>Leaf / LLM surface</t>
  </si>
  <si>
    <t>LLM reads a natural-language case and writes raw intake observation rows (ancestry, allele freqs, presenting facts) to base tables. It interprets the case like an intake nurse and never computes a single inference above the leaf layer.</t>
  </si>
  <si>
    <t>[{"file": "THE-ORIGINAL-CHALLENGE.md", "line": 4, "col": 751, "len": 65, "quote": "resolving cell-state-specific effects, allele-specific expression", "section": "prompt", "relation": "indirect"}, {"file": "THE-ORIGINAL-CHALLENGE.md", "line": 4, "col": 1446, "len": 83, "quote": "accurately predict disease onset, severity, treatment response, and adverse effects", "section": "prompt", "relation": "indirect"}]</t>
  </si>
  <si>
    <t xml:space="preserve">- **indirectly supports** (prompt, `THE-ORIGINAL-CHALLENGE.md` L4:751+65): _resolving cell-state-specific effects, allele-specific expression_
- **indirectly supports** (prompt, `THE-ORIGINAL-CHALLENGE.md` L4:1446+83): _accurately predict disease onset, severity, treatment response, and adverse effects_</t>
  </si>
  <si>
    <t>Addresses the front of the challenge's data pipeline: turning heterogeneous clinical input into structured observations. The LLM is the *transcriber*, never the diagnostician - the half of the trust boundary that stays human-overridable.</t>
  </si>
  <si>
    <t>feat-synthetic-lab</t>
  </si>
  <si>
    <t>Synthetic-but-transparent lab generator</t>
  </si>
  <si>
    <t>LLM emits the case's test results (effect sizes/SEs, replication signs/p-values, permutation effect sizes, calibration coverage) as visible, sourced, editable leaf rows. The numbers are fake (the case is invented) but every value is transparent, sourced to the case, and editable.</t>
  </si>
  <si>
    <t>[{"file": "THE-ORIGINAL-CHALLENGE.md", "line": 4, "col": 818, "len": 54, "quote": "3D enhancer–promoter interactions, rare-variant burden", "section": "prompt", "relation": "indirect"}, {"file": "THE-ORIGINAL-CHALLENGE.md", "line": 4, "col": 1396, "len": 45, "quote": "produce experimentally falsifiable mechanisms", "section": "prompt", "relation": "indirect"}]</t>
  </si>
  <si>
    <t xml:space="preserve">- **indirectly supports** (prompt, `THE-ORIGINAL-CHALLENGE.md` L4:818+54): _3D enhancer-promoter interactions, rare-variant burden_
- **indirectly supports** (prompt, `THE-ORIGINAL-CHALLENGE.md` L4:1396+45): _produce experimentally falsifiable mechanisms_</t>
  </si>
  <si>
    <t>Stands in for the prompt's enormous multi-omic measurement surface. The point isn't real biology (out of scope); it's that the *shape* real measurements would slot into exists, with each number a visible, correctable knob - defeating 'a hallucination laundered through a deterministic function'.</t>
  </si>
  <si>
    <t>feat-three-panel-witness</t>
  </si>
  <si>
    <t>Three-panel witness view</t>
  </si>
  <si>
    <t>Witness / harness</t>
  </si>
  <si>
    <t>Input case text | extracted facts with per-fact provenance back into the text | deterministic diagnosis + four-gate trace. The middle panel is human-checkable independently of the verdict.</t>
  </si>
  <si>
    <t>[{"file": "THE-ORIGINAL-CHALLENGE.md", "line": 4, "col": 1608, "len": 68, "quote": "with calibrated uncertainty and no reliance on spurious correlations", "section": "prompt", "relation": "indirect"}]</t>
  </si>
  <si>
    <t>- **indirectly supports** (prompt, `THE-ORIGINAL-CHALLENGE.md` L4:1608+68): _with calibrated uncertainty and no reliance on spurious correlations_</t>
  </si>
  <si>
    <t>This is the anti-laundering instrument: it lets a reviewer verify the extracted leaves against the source text *before* trusting any derived conclusion. Indirectly serves the prompt's demand for *no reliance on spurious correlations* by making the raw-&gt;derived path inspectable end to end.</t>
  </si>
  <si>
    <t>feat-witnessed-harness-home</t>
  </si>
  <si>
    <t>Witnessed red-&gt;green inference harness (home screen)</t>
  </si>
  <si>
    <t>The app's home page IS a red/green test tree, not a form. Every category of inference (the DAG levels / the four gates) and the specific tests under each are asserted against the app's own API for all patients. As the model is built out, tests turn green; a fully green run is the proof.</t>
  </si>
  <si>
    <t>[{"file": "THE-ORIGINAL-CHALLENGE.md", "line": 4, "col": 1396, "len": 45, "quote": "produce experimentally falsifiable mechanisms", "section": "prompt", "relation": "indirect"}, {"file": "THE-ORIGINAL-CHALLENGE.md", "line": 66, "col": 191, "len": 37, "quote": "decomposes into inspectable structure", "section": "response", "relation": "indirect"}]</t>
  </si>
  <si>
    <t xml:space="preserve">- **indirectly supports** (prompt, `THE-ORIGINAL-CHALLENGE.md` L4:1396+45): _produce experimentally falsifiable mechanisms_
- **indirectly supports** (response, `THE-ORIGINAL-CHALLENGE.md` L66:191+37): _decomposes into inspectable structure_</t>
  </si>
  <si>
    <t>The harness is how the platform makes its claims *checkable rather than asserted*. It is the operational form of the V2 response's argument: not 'how much is modeled' but 'does adding the next thing keep the audit guarantee' - and it stays green and inspectable when it does.</t>
  </si>
  <si>
    <t>feat-knob-edit-ui</t>
  </si>
  <si>
    <t>Knob-editing admin UI</t>
  </si>
  <si>
    <t>Every LLM-produced leaf value is an editable field; correcting it re-derives the DAG. Every formula is inspectable/correctable in place, like a spreadsheet cell, so a wrong input is nudged, not re-prompted.</t>
  </si>
  <si>
    <t>Makes the trust boundary *actionable* for a human reviewer: the model's judgment is externalized into editable bottom-row cells, and all reasoning lives in the open DAG above them.</t>
  </si>
  <si>
    <t>loop-2</t>
  </si>
  <si>
    <t>feat-gate-explainability</t>
  </si>
  <si>
    <t>Gate explainability</t>
  </si>
  <si>
    <t>For a patient, show why each gate passed/failed by walking one level down (coverage, cross-ancestry replication count, permutation survival, cryptic-relatedness flag, etc.).</t>
  </si>
  <si>
    <t>[{"file": "THE-ORIGINAL-CHALLENGE.md", "line": 4, "col": 1545, "len": 62, "quote": "from ancestries and environments absent from the training data", "section": "prompt", "relation": "direct"}, {"file": "THE-ORIGINAL-CHALLENGE.md", "line": 4, "col": 1608, "len": 68, "quote": "with calibrated uncertainty and no reliance on spurious correlations", "section": "prompt", "relation": "indirect"}]</t>
  </si>
  <si>
    <t xml:space="preserve">- **directly addresses** (prompt, `THE-ORIGINAL-CHALLENGE.md` L4:1545+62): _from ancestries and environments absent from the training data_
- **indirectly supports** (prompt, `THE-ORIGINAL-CHALLENGE.md` L4:1608+68): _with calibrated uncertainty and no reliance on spurious correlations_</t>
  </si>
  <si>
    <t>Turns the keystone from a verdict into an explanation. Directly serves the prompt's *calibrated uncertainty* and ancestry-generalizability requirements by exposing the exact sub-evidence each gate rests on.</t>
  </si>
  <si>
    <t>loop-3</t>
  </si>
  <si>
    <t>feat-disease-state-machine</t>
  </si>
  <si>
    <t>Disease-state machine derived from raw labs</t>
  </si>
  <si>
    <t>Disease-state simulation</t>
  </si>
  <si>
    <t>Disease progresses as a state machine: Presymptomatic -&gt; SerologicActive -&gt; EarlyNephritis -&gt; RenalFlareRisk -&gt; BiopsyIndicated. The current state is computed from rising anti-dsDNA + falling complement + proteinuria - never entered - and dwell time per state is tracked.</t>
  </si>
  <si>
    <t>[{"file": "THE-ORIGINAL-CHALLENGE.md", "line": 34, "col": 569, "len": 69, "quote": "the difference between an evidence gate and a disease-state simulator", "section": "audit", "relation": "direct"}, {"file": "THE-ORIGINAL-CHALLENGE.md", "line": 51, "col": 0, "len": 63, "quote": "Disease now progresses as a state machine derived from raw labs", "section": "response", "relation": "direct"}, {"file": "THE-ORIGINAL-CHALLENGE.md", "line": 4, "col": 1019, "len": 56, "quote": "feedback between disease progression and molecular state", "section": "prompt", "relation": "indirect"}]</t>
  </si>
  <si>
    <t xml:space="preserve">- **directly addresses** (audit, `THE-ORIGINAL-CHALLENGE.md` L34:569+69): _the difference between an evidence gate and a disease-state simulator_
- **directly addresses** (response, `THE-ORIGINAL-CHALLENGE.md` L51:0+63): _Disease now progresses as a state machine derived from raw labs_
- **indirectly supports** (prompt, `THE-ORIGINAL-CHALLENGE.md` L4:1019+56): _feedback between disease progression and molecular state_</t>
  </si>
  <si>
    <t>Directly answers the doctor's central v1 critique: the difference between an evidence gate and a disease-state simulator. This is the 'is the disease progressing' layer, built additively onto the same trust boundary (labs are the clinician's input; state is the model's derivation).</t>
  </si>
  <si>
    <t>feat-sledai-activity-score</t>
  </si>
  <si>
    <t>Derived SLEDAI disease-activity score</t>
  </si>
  <si>
    <t>A SLEDAI activity score (and activity tier) computed per patient from the serology series (renal points, serology points, proteinuria), not a label anyone typed. Drives the worked nephritis example: rising anti-dsDNA, falling complement, renal-flare risk, biopsy-indicated.</t>
  </si>
  <si>
    <t>[{"file": "THE-ORIGINAL-CHALLENGE.md", "line": 34, "col": 275, "len": 62, "quote": "This patient is transitioning from presymptomatic autoimmunity", "section": "audit", "relation": "direct"}, {"file": "THE-ORIGINAL-CHALLENGE.md", "line": 32, "col": 518, "len": 67, "quote": "the clinical workflow from referral, differential diagnosis, workup", "section": "audit", "relation": "indirect"}]</t>
  </si>
  <si>
    <t xml:space="preserve">- **directly addresses** (audit, `THE-ORIGINAL-CHALLENGE.md` L34:275+62): _This patient is transitioning from presymptomatic autoimmunity_
- **indirectly supports** (audit, `THE-ORIGINAL-CHALLENGE.md` L32:518+67): _the clinical workflow from referral, differential diagnosis, workup_</t>
  </si>
  <si>
    <t>Concretely supplies the 'real disease activity scores' the doctor named as missing in v1, and produces the first computed worked example: a patient *transitioning toward early lupus nephritis*.</t>
  </si>
  <si>
    <t>feat-treatment-line-recommendation</t>
  </si>
  <si>
    <t>Derived treatment-line recommendation with one stated reason</t>
  </si>
  <si>
    <t>Treatment reasoning</t>
  </si>
  <si>
    <t>A recommended treatment line with a single stated reason, differentiated by the confirmed mechanism and the disease state: mycophenolate induction for active nephritis, anifrolumab for an IFN-pathway mechanism, belimumab for autoantibody-driven, secukinumab for IL-17/23.</t>
  </si>
  <si>
    <t>[{"file": "THE-ORIGINAL-CHALLENGE.md", "line": 6, "col": 348, "len": 60, "quote": "therapies that target each person’s causal molecular pathway", "section": "payoff", "relation": "direct"}, {"file": "THE-ORIGINAL-CHALLENGE.md", "line": 34, "col": 473, "len": 85, "quote": "would likely respond differently to mycophenolate versus belimumab versus anifrolumab", "section": "audit", "relation": "direct"}, {"file": "THE-ORIGINAL-CHALLENGE.md", "line": 55, "col": 37, "len": 67, "quote": "A derived treatment-line recommendation with a single stated reason", "section": "response", "relation": "direct"}]</t>
  </si>
  <si>
    <t xml:space="preserve">- **directly addresses** (payoff, `THE-ORIGINAL-CHALLENGE.md` L6:348+60): _therapies that target each person's causal molecular pathway_
- **directly addresses** (audit, `THE-ORIGINAL-CHALLENGE.md` L34:473+85): _would likely respond differently to mycophenolate versus belimumab versus anifrolumab_
- **directly addresses** (response, `THE-ORIGINAL-CHALLENGE.md` L55:37+67): _A derived treatment-line recommendation with a single stated reason_</t>
  </si>
  <si>
    <t>The doctor's *second* worked example, computed. Implements 'therapies that target each person's causal molecular pathway' as a derived field grounded in a confirmed CausalMechanism node - a mechanism match, not a broad immunosuppression label.</t>
  </si>
  <si>
    <t>feat-treatment-response-mechanism-match</t>
  </si>
  <si>
    <t>Treatment-response prediction via mechanism match</t>
  </si>
  <si>
    <t>Supporting</t>
  </si>
  <si>
    <t>A treatment-response prediction is trustworthy only when the treatment targets a confirmed causal mechanism (IsMechanismMatched) AND the treatment is effective. A drug aimed at a debunked mechanism, or one that didn't work / was adverse, is never 'predicted to respond'.</t>
  </si>
  <si>
    <t>[{"file": "THE-ORIGINAL-CHALLENGE.md", "line": 4, "col": 1446, "len": 83, "quote": "accurately predict disease onset, severity, treatment response, and adverse effects", "section": "prompt", "relation": "direct"}, {"file": "THE-ORIGINAL-CHALLENGE.md", "line": 6, "col": 633, "len": 29, "quote": "reduce failed clinical trials", "section": "payoff", "relation": "indirect"}]</t>
  </si>
  <si>
    <t xml:space="preserve">- **directly addresses** (prompt, `THE-ORIGINAL-CHALLENGE.md` L4:1446+83): _accurately predict disease onset, severity, treatment response, and adverse effects_
- **indirectly supports** (payoff, `THE-ORIGINAL-CHALLENGE.md` L6:633+29): _reduce failed clinical trials_</t>
  </si>
  <si>
    <t>One of the three prediction types the prompt asks for (onset / severity / treatment-response). Grounds treatment response in the same causal-mechanism DAG so it can never be a free-floating label.</t>
  </si>
  <si>
    <t>feat-emergent-serology-cluster</t>
  </si>
  <si>
    <t>Emergent serology-signature cluster (corpus-level discovery)</t>
  </si>
  <si>
    <t>Corpus-level discovery</t>
  </si>
  <si>
    <t>A per-patient IsInPreNephriticSignatureCluster rolled up from each person's raw serology series (rising anti-dsDNA + falling complement), no label assigned. On the synthetic cohort it lands cleanly - 6 of 12 in the cluster - and perfectly separates active/progressing from quiescent patients.</t>
  </si>
  <si>
    <t>[{"file": "THE-ORIGINAL-CHALLENGE.md", "line": 62, "col": 63, "len": 36, "quote": "discovery is inherently corpus-level", "section": "response", "relation": "direct"}, {"file": "THE-ORIGINAL-CHALLENGE.md", "line": 62, "col": 340, "len": 66, "quote": "surfaces as a derived emergent cluster across the whole population", "section": "response", "relation": "direct"}, {"file": "THE-ORIGINAL-CHALLENGE.md", "line": 4, "col": 351, "len": 79, "quote": "identify the complete causal architecture of a heterogeneous autoimmune disease", "section": "prompt", "relation": "indirect"}]</t>
  </si>
  <si>
    <t xml:space="preserve">- **directly addresses** (response, `THE-ORIGINAL-CHALLENGE.md` L62:63+36): _discovery is inherently corpus-level_
- **directly addresses** (response, `THE-ORIGINAL-CHALLENGE.md` L62:340+66): _surfaces as a derived emergent cluster across the whole population_
- **indirectly supports** (prompt, `THE-ORIGINAL-CHALLENGE.md` L4:351+79): _identify the complete causal architecture of a heterogeneous autoimmune disease_</t>
  </si>
  <si>
    <t>Answers the doctor's deepest point: discovery is inherently corpus-level - a single chart never discovers a mechanism, a pattern across many patients does. This is the *shape* of discovery on synthetic data: membership emerges from the population's raw data and tracks the disease.</t>
  </si>
  <si>
    <t>feat-evidence-disease-disagreement</t>
  </si>
  <si>
    <t>Evidence-gate &lt;-&gt; disease-state disagreement detector</t>
  </si>
  <si>
    <t>Flags the patient where the disease-state simulator and the actionability gate disagree: the disease is clearly progressing (biopsy-indicated, high activity) yet the prediction is correctly judged not clinically actionable (a relatedness-leakage problem).</t>
  </si>
  <si>
    <t>[{"file": "THE-ORIGINAL-CHALLENGE.md", "line": 57, "col": 95, "len": 63, "quote": "the disease-state simulator and the actionability gate disagree", "section": "response", "relation": "direct"}, {"file": "THE-ORIGINAL-CHALLENGE.md", "line": 34, "col": 569, "len": 69, "quote": "the difference between an evidence gate and a disease-state simulator", "section": "audit", "relation": "direct"}]</t>
  </si>
  <si>
    <t xml:space="preserve">- **directly addresses** (response, `THE-ORIGINAL-CHALLENGE.md` L57:95+63): _the disease-state simulator and the actionability gate disagree_
- **directly addresses** (audit, `THE-ORIGINAL-CHALLENGE.md` L34:569+69): _the difference between an evidence gate and a disease-state simulator_</t>
  </si>
  <si>
    <t>The single clearest proof that disease-state simulation is a *second, independent* layer and not the old evidence gate relabeled. A system that only gated evidence could never say 'needs attention now, but our mechanism prediction isn't trustworthy enough to pick a targeted therapy.'</t>
  </si>
  <si>
    <t>feat-cohort-discovery-board</t>
  </si>
  <si>
    <t>Cohort discovery board (corpus surface)</t>
  </si>
  <si>
    <t>Top nav item for every role: the disease-state map, the emergent serology-signature scatter (with the derived cluster drawn as a halo, not a painted colour), the disagreement board, and the treatment-line distribution - all reading derived fields.</t>
  </si>
  <si>
    <t>[{"file": "THE-ORIGINAL-CHALLENGE.md", "line": 6, "col": 312, "len": 30, "quote": "precise patient stratification", "section": "payoff", "relation": "direct"}, {"file": "THE-ORIGINAL-CHALLENGE.md", "line": 62, "col": 63, "len": 36, "quote": "discovery is inherently corpus-level", "section": "response", "relation": "indirect"}]</t>
  </si>
  <si>
    <t xml:space="preserve">- **directly addresses** (payoff, `THE-ORIGINAL-CHALLENGE.md` L6:312+30): _precise patient stratification_
- **indirectly supports** (response, `THE-ORIGINAL-CHALLENGE.md` L62:63+36): _discovery is inherently corpus-level_</t>
  </si>
  <si>
    <t>The corpus-level surface where discovery is *expressed*. Moves the platform from per-patient adjudication (v1) to a population view, which is where the prompt's 'causal architecture' lives.</t>
  </si>
  <si>
    <t>feat-diagnosis-writeup</t>
  </si>
  <si>
    <t>Per-patient diagnosis writeup</t>
  </si>
  <si>
    <t>Reporting</t>
  </si>
  <si>
    <t>Doctor-style Markdown writeup (-&gt; diagnosis.pdf once green) produced as an artifact of a passing run: 'The patient presented with... tests xyz confirmed abc... therefore C (actionable / not, and the single deciding reason).' It needs no UI to be valuable.</t>
  </si>
  <si>
    <t>[{"file": "THE-ORIGINAL-CHALLENGE.md", "line": 6, "col": 223, "len": 87, "quote": "individualized prevention, presymptomatic diagnosis, ancestry-equitable risk prediction", "section": "payoff", "relation": "direct"}]</t>
  </si>
  <si>
    <t>- **directly addresses** (payoff, `THE-ORIGINAL-CHALLENGE.md` L6:223+87): _individualized prevention, presymptomatic diagnosis, ancestry-equitable risk prediction_</t>
  </si>
  <si>
    <t>The real output of the platform is a diagnosis, not a screen. This is the human-facing payoff that the prompt's 'presymptomatic diagnosis' and 'individualized' language ultimately asks for.</t>
  </si>
  <si>
    <t>feat-derived-report-fragments</t>
  </si>
  <si>
    <t>Derived narrative fragment fields</t>
  </si>
  <si>
    <t>Per-row calculated text fields that turn each fact into structured natural language, predicate-gated and case-by-case (e.g. TemperatureNarrative -&gt; 'normal temperature' | 'light fever' | 'severe fever' from the row's own value). Each fragment is one spreadsheet-cell formula reading sibling fields and __meta__ phrases only - no joins or aggregations - composed upward into complex sentences.</t>
  </si>
  <si>
    <t>[{"file": "THE-ORIGINAL-CHALLENGE.md", "line": 66, "col": 191, "len": 37, "quote": "decomposes into inspectable structure", "section": "response", "relation": "indirect"}]</t>
  </si>
  <si>
    <t>- **indirectly supports** (response, `THE-ORIGINAL-CHALLENGE.md` L66:191+37): _decomposes into inspectable structure_</t>
  </si>
  <si>
    <t>Keeps all narrative wording inside the auditable DAG: the writeup is assembled from inspectable calculated cells, never free-text generated at render time. Reporting stays on the trust boundary.</t>
  </si>
  <si>
    <t>feat-report-meta-phrasebook</t>
  </si>
  <si>
    <t>Global phrasebook in __meta__</t>
  </si>
  <si>
    <t>Reusable, contextual language atoms stored once in the __meta__ settings table - literal global phrases ('The patient presented with...') and shared banding vocabulary - referenced by fragment fields so common language is authored/corrected in one place, never re-implemented per case.</t>
  </si>
  <si>
    <t>[]</t>
  </si>
  <si>
    <t>_No direct challenge clause - internal scaffolding._</t>
  </si>
  <si>
    <t>DRY for narrative: the one place global phrasing is corrected. Supports the writeup feature without duplicating wording across patients.</t>
  </si>
  <si>
    <t>feat-report-renderer</t>
  </si>
  <si>
    <t>Thin Python report renderer (replaces handlebars)</t>
  </si>
  <si>
    <t>A small Python renderer whose only job is to read each patient's derived fragment fields from vw_* views and concatenate the non-empty, predicate-gated fragments in order into the diagnosis report (Markdown -&gt; diagnosis.pdf). All sentence wording lives in the rulebook as calculated fields; the renderer owns no business or narrative logic.</t>
  </si>
  <si>
    <t>Enforces the rule that the renderer is dumb and the rulebook is the single source of narrative truth - the same discipline this PLATFORM_FEATURES.md generation itself follows.</t>
  </si>
  <si>
    <t>feat-report-total-coverage-check</t>
  </si>
  <si>
    <t>Report total-coverage harness</t>
  </si>
  <si>
    <t>Tests that every patient word and every linked DAG node down to ground truth is represented in that patient's report (see tfs-report-covers-every-word, tfs-report-covers-every-dag-node).</t>
  </si>
  <si>
    <t>Closes the loop on the writeup: nothing in a patient's record is silently dropped from their report, and nothing in the report is unsourced. Total coverage is itself a witnessed test.</t>
  </si>
  <si>
    <t>feat-explainer-dag</t>
  </si>
  <si>
    <t>In-app Explainer DAG (clickable field provenance)</t>
  </si>
  <si>
    <t>Platform infrastructure</t>
  </si>
  <si>
    <t>A generated, embedded visualization of the rulebook's calculated-field DAG: click any cell/field and see exactly how it was derived (raw inputs -&gt; lookups -&gt; calcs -&gt; aggregations), with RuleSpeak prose baked in at transpile time.</t>
  </si>
  <si>
    <t>Makes 'the trust boundary is a line in the graph' literally clickable. Any reviewer can trace a verdict back to the raw leaves it rests on - the in-app form of the audit guarantee.</t>
  </si>
  <si>
    <t>feat-url-driven-routing</t>
  </si>
  <si>
    <t>URL-driven routing &amp; role navigation</t>
  </si>
  <si>
    <t>The URL is the single source of truth for view state: every thing/list has a stable URL, F5 restores the exact view+tab, and links reach any piece. Role trees (admin / intake clinician / ...) gate what each role can create/read/update/delete, derived from the RoutingAndNavigation rows.</t>
  </si>
  <si>
    <t>[{"file": "THE-ORIGINAL-CHALLENGE.md", "line": 32, "col": 518, "len": 67, "quote": "the clinical workflow from referral, differential diagnosis, workup", "section": "audit", "relation": "indirect"}]</t>
  </si>
  <si>
    <t>- **indirectly supports** (audit, `THE-ORIGINAL-CHALLENGE.md` L32:518+67): _the clinical workflow from referral, differential diagnosis, workup_</t>
  </si>
  <si>
    <t>Workflow scaffolding the doctor named as missing: referral -&gt; workup -&gt; monitoring needs addressable, role-scoped navigation. Permissions are derived from the rulebook, not hand-wired per screen.</t>
  </si>
  <si>
    <t>feat-reverse-sync-db-to-rulebook</t>
  </si>
  <si>
    <t>Reverse-sync DB -&gt; rulebook (input spoke)</t>
  </si>
  <si>
    <t>vw_* raw + computed values are written back into the rulebook data[] (snapshot-to-rulebook), so edits made in the running app round-trip into the hub. A 'Save to rulebook' admin action and the init-db snapshot step keep the hub and the DB mirrored.</t>
  </si>
  <si>
    <t>Makes the running app a peer input spoke to the rulebook hub, not a downstream dead end - the mechanism by which knob edits in the UI become durable rule-state.</t>
  </si>
  <si>
    <t>feat-coverage-map-honesty</t>
  </si>
  <si>
    <t>Honest coverage map (modeled vs. vocabulary-only)</t>
  </si>
  <si>
    <t>A clause-by-clause map against the original challenge plus an honest scorecard: each capability is marked DEEPLY MODELED, SCHEMA-MODELED, or VOCABULARY / OUT-OF-SCOPE (IsDeeplyModeled / IsSchemaModeled on DiseaseDomainConcepts). What is derived says so; what is only named says so too.</t>
  </si>
  <si>
    <t>[{"file": "THE-ORIGINAL-CHALLENGE.md", "line": 4, "col": 1085, "len": 78, "quote": "infer counterfactual disease trajectories without randomized perturbation data", "section": "prompt", "relation": "indirect"}, {"file": "THE-ORIGINAL-CHALLENGE.md", "line": 4, "col": 1325, "len": 37, "quote": "privacy-preserving federated datasets", "section": "prompt", "relation": "indirect"}, {"file": "THE-ORIGINAL-CHALLENGE.md", "line": 4, "col": 1254, "len": 69, "quote": "batch effects, missing tissues, measurement error, ascertainment bias", "section": "prompt", "relation": "indirect"}]</t>
  </si>
  <si>
    <t xml:space="preserve">- **indirectly supports** (prompt, `THE-ORIGINAL-CHALLENGE.md` L4:1085+78): _infer counterfactual disease trajectories without randomized perturbation data_
- **indirectly supports** (prompt, `THE-ORIGINAL-CHALLENGE.md` L4:1325+37): _privacy-preserving federated datasets_
- **indirectly supports** (prompt, `THE-ORIGINAL-CHALLENGE.md` L4:1254+69): _batch effects, missing tissues, measurement error, ascertainment bias_</t>
  </si>
  <si>
    <t>The integrity feature. It directly confronts the prompt's own breadth - counterfactual trajectories, federated privacy, batch effects - by stating exactly which clauses are real derivations and which are vocabulary only. This is what keeps the platform 'a proof of shape, not a sales pitch.'</t>
  </si>
  <si>
    <t>InferenceKindId</t>
  </si>
  <si>
    <t>ExampleField</t>
  </si>
  <si>
    <t>EvidenceCount</t>
  </si>
  <si>
    <t>Maturity</t>
  </si>
  <si>
    <t>ik-lookup-fk</t>
  </si>
  <si>
    <t>Lookup / FK resolution</t>
  </si>
  <si>
    <t>Pull a related row's value across a foreign key so a derived field can reason over it in place (no application-side JOIN). The relationship is declared once; the value resolves wherever it is needed.</t>
  </si>
  <si>
    <t>Individuals.FederatedDatasetNodeLabel (resolves the dataset's label by FK)</t>
  </si>
  <si>
    <t>35 lookup fields + 42 relationships; INDEX/MATCH used 49x</t>
  </si>
  <si>
    <t>Live</t>
  </si>
  <si>
    <t>ik-aggregation-rollup</t>
  </si>
  <si>
    <t>Aggregation rollups</t>
  </si>
  <si>
    <t>Collapse many child rows into one parent value - counts, maxima, sums, fractions. This is how per-row facts become corpus-level patterns: a population signature is a rollup over each person's raw series, with no label assigned.</t>
  </si>
  <si>
    <t>Individuals.MaxProgressionStateOrder; the emergent IsInPreNephriticSignatureCluster rollup</t>
  </si>
  <si>
    <t>33 aggregation fields; COUNTIFS/MAXIFS/SUMIFS used 33x</t>
  </si>
  <si>
    <t>ik-higher-order</t>
  </si>
  <si>
    <t>Higher-order inference (gates over gates)</t>
  </si>
  <si>
    <t>Calculated fields that take other calculated fields as inputs, stacked into a multi-level DAG. The keystone is the apex: a boolean computed over four gates, each themselves computed over lower derivations - inference about inferences, never a hand-entered answer.</t>
  </si>
  <si>
    <t>IndividualPredictions.IsClinicallyActionable (AND of the four derived gates)</t>
  </si>
  <si>
    <t>200 calculated fields; the keystone is an AND of four derived gates</t>
  </si>
  <si>
    <t>ik-state-machine</t>
  </si>
  <si>
    <t>State-machine derivation</t>
  </si>
  <si>
    <t>A subject's current state is derived from raw longitudinal inputs against a declared transition graph, not entered. Dwell time per state and the progression key fall out of the same derivation.</t>
  </si>
  <si>
    <t>Individuals.NephritisProgressionStateKey (from rising anti-dsDNA + falling complement)</t>
  </si>
  <si>
    <t>2 state machines, 13 states, 14 transition rules; current state is computed</t>
  </si>
  <si>
    <t>ik-transitive-closure</t>
  </si>
  <si>
    <t>Transitive closure (reachability inference)</t>
  </si>
  <si>
    <t>Sparsely-asserted FromState-&gt;ToState edges imply the full reachability ordering, including never-asserted long-range pairs. The disease trajectory is inferred from the transition topology (e.g. intake -&gt; actionable at hop 5, is_inferred=true) rather than hand-typed as an integer ladder - the autoimmune analogue of a step-1 -&gt; step-5 ordering.</t>
  </si>
  <si>
    <t>StateTransitionRules.ProgressionClosure (presymptomatic -&gt; biopsy-indicated, inferred)</t>
  </si>
  <si>
    <t>1 closure field -&gt; vw_state_transition_rules_closure: 14 asserted edges, 18 inferred pairs (to hop 5)</t>
  </si>
  <si>
    <t>ik-predicate-narrative</t>
  </si>
  <si>
    <t>Predicate-gated narrative</t>
  </si>
  <si>
    <t>Each raw fact is turned into a phrase by a per-row formula that selects wording from its own value and a shared __meta__ phrasebook (e.g. a temperature becomes 'normal' | 'light fever' | 'severe fever'). The diagnosis writeup is assembled from these inspectable cells - no free-text generated at render time.</t>
  </si>
  <si>
    <t>Individuals.ActivityTier / TemperatureNarrative (banded from the row's own value)</t>
  </si>
  <si>
    <t>IF used 166x; per-row narrative fragment fields band raw values into language</t>
  </si>
  <si>
    <t>ik-cross-substrate-conformance</t>
  </si>
  <si>
    <t>Cross-substrate conformance</t>
  </si>
  <si>
    <t>The same declared model is projected to a second substrate (OWL) and an independent reasoner closes it on its own; agreement with the Postgres recursive view is the conformance receipt. rulebook-to-owl emits the transition relation as an owl:TransitiveProperty, owlrl deduces every reachable pair, and owl/reason.py diffs that set against vw_state_transition_rules_closure - they match exactly (32 reachability pairs, incl. the inferred long-range intake -&gt; actionable at hop 5). A recursive SQL view and an OWL-RL deductive closure compute the same reachability from one model: the reasoning is substrate-independent, not SQL-specific.</t>
  </si>
  <si>
    <t>owl/reason.py: owlrl closure of `progression` (TransitiveProperty) == vw_state_transition_rules_closure</t>
  </si>
  <si>
    <t>OWL-RL closure == Postgres closure: 14 asserted edges, 18 inferred pairs, 32 total - identical sets, verified by owl/reason.py</t>
  </si>
  <si>
    <t>OpenQuestionId</t>
  </si>
  <si>
    <t>Question</t>
  </si>
  <si>
    <t>Context</t>
  </si>
  <si>
    <t>Resolution</t>
  </si>
  <si>
    <t>IsResolved</t>
  </si>
  <si>
    <t>oq-publish-now</t>
  </si>
  <si>
    <t>Publish README now as a design/thesis doc, or hold until the harness goes green?</t>
  </si>
  <si>
    <t>Repo is at Loop 0.5 (harness red, no LLM intake yet). Receipts land harder green.</t>
  </si>
  <si>
    <t>oq-extract-vs-invent</t>
  </si>
  <si>
    <t>Does the LLM extract facts present in the case, or invent plausible facts for a described case?</t>
  </si>
  <si>
    <t>Mode #1 (extract) vs mode #2 (invent) changes how strong the claim is.</t>
  </si>
  <si>
    <t>Mode #1 at intake (extract/interpret), and synthetic-but-transparent test results for the invented case — every number visible, sourced, editable.</t>
  </si>
  <si>
    <t>oq-reworded-prompt</t>
  </si>
  <si>
    <t>Confirm the reworded README prompt shares no distinctive phrasing with the prospect's original.</t>
  </si>
  <si>
    <t>Anonymity / no verbatim leakage before publishing.</t>
  </si>
  <si>
    <t>oq-fragment-fields-where</t>
  </si>
  <si>
    <t>On which tables do the narrative fragment fields live, and how are per-case fragments composed up into one report — section order, headers, grouping?</t>
  </si>
  <si>
    <t>Decision is 'pure derived fields': sentence wording is per-row calculated fields (cell-simple, predicate-gated), reusable atoms in __meta__. Still open: do fragments hang off the patient/IndividualPredictions row and reference sibling facts, or off each evidence/gate row and roll up as text? And the renderer owns only ordering/concatenation — confirm it never composes wording. This is the next loop's design.</t>
  </si>
  <si>
    <t>NonGoalId</t>
  </si>
  <si>
    <t>WhyExcluded</t>
  </si>
  <si>
    <t>ng-clinical-use</t>
  </si>
  <si>
    <t>This is not validated clinical decision support and must never be used for clinical purposes.</t>
  </si>
  <si>
    <t>Demonstration of inference structure only; all patients synthetic, all figures literature ranges.</t>
  </si>
  <si>
    <t>ng-crud-ui</t>
  </si>
  <si>
    <t>This is not a CRUD UI.</t>
  </si>
  <si>
    <t>The home screen is the witnessed red/green harness; the payoff is a derived diagnosis writeup.</t>
  </si>
  <si>
    <t>ng-llm-reasoning</t>
  </si>
  <si>
    <t>The LLM does not perform higher-order reasoning or render the diagnosis.</t>
  </si>
  <si>
    <t>All reasoning lives in the open, editable DAG; the LLM is intake clerk + lab only.</t>
  </si>
  <si>
    <t>ng-full-breadth</t>
  </si>
  <si>
    <t>The full omics breadth (counterfactual trajectories, most modalities, epistasis, exposures) is not on the keystone's dependency path.</t>
  </si>
  <si>
    <t>Kept as deliberate sparse context for breadth; pulled onto the path only when it earns its place (anti-hallucination rule).</t>
  </si>
  <si>
    <t>ng-publish-verbatim</t>
  </si>
  <si>
    <t>Never publish the prospect's verbatim problem text.</t>
  </si>
  <si>
    <t>Anonymity / good manners; the public artifact uses a reworded generic grand-challenge prompt.</t>
  </si>
  <si>
    <t>GlossaryTermId</t>
  </si>
  <si>
    <t>Term</t>
  </si>
  <si>
    <t>Definition</t>
  </si>
  <si>
    <t>gt-knob</t>
  </si>
  <si>
    <t>A literal, editable leaf value in the admin UI representing one choice the LLM (or a human) made; nudged, not re-prompted, when wrong.</t>
  </si>
  <si>
    <t>gt-intake-clerk-lab</t>
  </si>
  <si>
    <t>intake clerk + lab</t>
  </si>
  <si>
    <t>The only two roles the LLM plays: interpret intake facts (clerk) and produce the case's test results (lab). Never the diagnostician.</t>
  </si>
  <si>
    <t>gt-line-in-dag</t>
  </si>
  <si>
    <t>line in the DAG</t>
  </si>
  <si>
    <t>The trust boundary, stated mechanically: fields with a formula belong to the model; raw-input leaf fields are the LLM's or a human's.</t>
  </si>
  <si>
    <t>gt-three-panel-witness</t>
  </si>
  <si>
    <t>three-panel witness</t>
  </si>
  <si>
    <t>Input case text | extracted facts with per-fact provenance | deterministic diagnosis + gate trace — the two halves checkable independently.</t>
  </si>
  <si>
    <t>gt-fake-but-transparent</t>
  </si>
  <si>
    <t>fake-but-transparent</t>
  </si>
  <si>
    <t>Test results are synthetic (the case is invented) but every number is visible, sourced to the case, and editable; nothing is hidden.</t>
  </si>
  <si>
    <t>gt-laundering-objection</t>
  </si>
  <si>
    <t>laundering objection</t>
  </si>
  <si>
    <t>The skeptic's claim that a deterministic function over LLM-chosen inputs just launders a hallucination; defeated by externalized knobs + independent witness.</t>
  </si>
  <si>
    <t>gt-disease-state-simulator</t>
  </si>
  <si>
    <t>disease state simulator</t>
  </si>
  <si>
    <t>The v2 layer the audit asked for: disease modeled as a WITNESSED state machine whose transitions fire only on raw longitudinal observations (rising anti-dsDNA, falling C3/C4, proteinuria). Current state and dwell-time are derived &amp; bitemporal — the contrast the audit drew with an 'evidence gate'.</t>
  </si>
  <si>
    <t>gt-evidence-gate</t>
  </si>
  <si>
    <t>evidence gate</t>
  </si>
  <si>
    <t>The v1 layer: per-patient adjudication of whether a prediction is trustworthy enough to act on (the four gates + IsClinicallyActionable). v2 keeps this and adds the disease-state simulator above it on the same hub.</t>
  </si>
  <si>
    <t>gt-disease-progression-machine</t>
  </si>
  <si>
    <t>disease progression machine</t>
  </si>
  <si>
    <t>A state machine on the polymorphic StateMachines substrate whose subject is a patient's disease course (presymptomatic -&gt; serologic-active -&gt; early-nephritis -&gt; renal-flare-risk -&gt; biopsy-indicated). Transitions are raw-leaf-triggered; current state is the derived IsCurrent occupancy.</t>
  </si>
  <si>
    <t>gt-dwell-time</t>
  </si>
  <si>
    <t>dwell time</t>
  </si>
  <si>
    <t>Bitemporal derivation: how long a subject has been in a disease state (now - EnteredAt while current; ExitedAt - EnteredAt once left). The audit asked for 'how long has the patient/disease been in a state' — this is that, as a formula.</t>
  </si>
  <si>
    <t>gt-serology-trajectory</t>
  </si>
  <si>
    <t>serology trajectory</t>
  </si>
  <si>
    <t>The raw longitudinal leaves driving progression: anti-dsDNA titre trend (rising/stable/falling), complement C3/C4 trend, proteinuria. The LLM/lab may emit these; everything above them is derived.</t>
  </si>
  <si>
    <t>gt-treatment-line-recommendation</t>
  </si>
  <si>
    <t>treatment line recommendation</t>
  </si>
  <si>
    <t>Derived field: given the patient's confirmed causal mechanism + current disease state, the recommended therapy (MMF vs belimumab vs anifrolumab) and the single deciding reason. The audit's second worked example.</t>
  </si>
  <si>
    <t>gt-corpus-discovery</t>
  </si>
  <si>
    <t>corpus discovery</t>
  </si>
  <si>
    <t>The cohort-level surface where causal-hypothesis patterns EMERGE across many patients (vs v1's per-patient verdicts). Discovery is inherently corpus-level; this is the v2 reframe of the audit's 'you don't do discovery' critique.</t>
  </si>
  <si>
    <t>EffortlessLoopId</t>
  </si>
  <si>
    <t>LoopNumber</t>
  </si>
  <si>
    <t>Goal</t>
  </si>
  <si>
    <t>RuleCommitMsg</t>
  </si>
  <si>
    <t>StateCommitMsg</t>
  </si>
  <si>
    <t>Completedness</t>
  </si>
  <si>
    <t>IsInCurrentPlan</t>
  </si>
  <si>
    <t>StatusBadge</t>
  </si>
  <si>
    <t>StatusLine</t>
  </si>
  <si>
    <t>loop-0</t>
  </si>
  <si>
    <t>0</t>
  </si>
  <si>
    <t>Solve-by-inference rulebook</t>
  </si>
  <si>
    <t>Convert 7 hand-entered answers to derived; add evidence/replication/control/calibration tables; wire raw observations to keystone.</t>
  </si>
  <si>
    <t>done</t>
  </si>
  <si>
    <t>rule: keystone IsClinicallyActionable now derived from observations</t>
  </si>
  <si>
    <t>state: Loop 0 - Postgres solve-by-inference verified</t>
  </si>
  <si>
    <t>[DONE]</t>
  </si>
  <si>
    <t xml:space="preserve"> - rule `rule: keystone IsClinicallyActionable now derived from observations`; state `state: Loop 0 - Postgres solve-by-inference verified`</t>
  </si>
  <si>
    <t>loop-0-5</t>
  </si>
  <si>
    <t>0.5</t>
  </si>
  <si>
    <t>Test Harness First (the red contract)</t>
  </si>
  <si>
    <t>Ship a witnessed inference harness asserting the entire DAG x 7 patients via the app API; red on arrival, load-bearing.</t>
  </si>
  <si>
    <t>none - app-only loop, test-harness-first, no rule change</t>
  </si>
  <si>
    <t>state: Loop 0.5 - red witnessed-inference harness is the app's contract</t>
  </si>
  <si>
    <t xml:space="preserve"> - rule `none - app-only loop, test-harness-first, no rule change`; state `state: Loop 0.5 - red witnessed-inference harness is the app's contract`</t>
  </si>
  <si>
    <t>loop-1</t>
  </si>
  <si>
    <t>1</t>
  </si>
  <si>
    <t>Intake app skeleton</t>
  </si>
  <si>
    <t>Turn keystone-level red tests green: wire cohort + prediction-panel endpoints reading vw_*.</t>
  </si>
  <si>
    <t>none - app-only loop, no rule change</t>
  </si>
  <si>
    <t>state: Loop 1 - read-only intake app surfaces the keystone</t>
  </si>
  <si>
    <t xml:space="preserve"> - rule `none - app-only loop, no rule change`; state `state: Loop 1 - read-only intake app surfaces the keystone`</t>
  </si>
  <si>
    <t>2</t>
  </si>
  <si>
    <t>Patient intake (facts in)</t>
  </si>
  <si>
    <t>Form writes a new Individual + child observation rows to base tables, then re-reads the derived panel. The knob-editing payoff.</t>
  </si>
  <si>
    <t>rule (if any) for new intake field</t>
  </si>
  <si>
    <t>state: Loop 2 - facts-in to derived diagnosis works end to end</t>
  </si>
  <si>
    <t xml:space="preserve"> - rule `rule (if any) for new intake field`; state `state: Loop 2 - facts-in to derived diagnosis works end to end`</t>
  </si>
  <si>
    <t>3</t>
  </si>
  <si>
    <t>3-panel witness — provenance back into the case text</t>
  </si>
  <si>
    <t>Show why each gate passed/failed one level down; consider installing the explainer-DAG transpiler.</t>
  </si>
  <si>
    <t>rule: install explainer-dag</t>
  </si>
  <si>
    <t>state: Loop 3 - gate explainability</t>
  </si>
  <si>
    <t xml:space="preserve"> - rule `rule: install explainer-dag`; state `state: Loop 3 - gate explainability`</t>
  </si>
  <si>
    <t>loop-4</t>
  </si>
  <si>
    <t>4</t>
  </si>
  <si>
    <t>Second prediction type (severity)</t>
  </si>
  <si>
    <t>Add a derived severity prediction grounded in ClinicalPhenotypes.SeverityScore; pull one context table onto the load-bearing path.</t>
  </si>
  <si>
    <t>rule: derive a severity prediction (IsSeverityActionable) chained to the onset gates</t>
  </si>
  <si>
    <t>state: Loop 4 - severity prediction (second prediction type) green</t>
  </si>
  <si>
    <t xml:space="preserve"> - rule `rule: derive a severity prediction (IsSeverityActionable) chained to the onset gates`; state `state: Loop 4 - severity prediction (second prediction type) green`</t>
  </si>
  <si>
    <t>loop-5</t>
  </si>
  <si>
    <t>5</t>
  </si>
  <si>
    <t>Treatment-response prediction</t>
  </si>
  <si>
    <t>Derive a treatment-response prediction from Treatments + mechanism match; surface in the panel.</t>
  </si>
  <si>
    <t>rule: derive a treatment-response prediction (IsTreatmentResponseActionable) via mechanism match</t>
  </si>
  <si>
    <t>state: Loop 5 - treatment-response prediction (third prediction type) green</t>
  </si>
  <si>
    <t xml:space="preserve"> - rule `rule: derive a treatment-response prediction (IsTreatmentResponseActionable) via mechanism match`; state `state: Loop 5 - treatment-response prediction (third prediction type) green`</t>
  </si>
  <si>
    <t>loop-vocab-completeness</t>
  </si>
  <si>
    <t>6</t>
  </si>
  <si>
    <t>Vocabulary completeness - every audit-named concept enters the hub</t>
  </si>
  <si>
    <t>Answer the audit's breadth: bring every concept the physician named (lupus nephritis, NPSLE, cutaneous lupus, sero+/-RA, erosive disease, axial PsA, enthesitis, dactylitis, uveitis, IBD overlap, organ damage, flare patterns, treatment lines, SLEDAI/DAS28) into the hub as DiseaseDomainConcepts, each with an honest ModelingStatus (deep-DAG / schema / vocabulary). Coverage becomes checkable by grep, not by trust.</t>
  </si>
  <si>
    <t>rule: DiseaseDomainConcepts - every audit-named concept in the hub with honest ModelingStatus</t>
  </si>
  <si>
    <t>state: v2 step1 - vocabulary completeness; coverage checkable by grep</t>
  </si>
  <si>
    <t xml:space="preserve"> - rule `rule: DiseaseDomainConcepts - every audit-named concept in the hub with honest ModelingStatus`; state `state: v2 step1 - vocabulary completeness; coverage checkable by grep`</t>
  </si>
  <si>
    <t>loop-disease-state</t>
  </si>
  <si>
    <t>7</t>
  </si>
  <si>
    <t>Disease-state simulator - the layer the audit said did not exist</t>
  </si>
  <si>
    <t>Reframe: v1 was a per-patient evidence gate; v2 adds the disease-state layer. A disease progressing is a state machine (lupus-nephritis-progression: Presymptomatic then SerologicActive then EarlyNephritis then RenalFlareRisk then BiopsyIndicated) whose CURRENT state is DERIVED purely from raw serology leaves (rising anti-dsDNA + falling complement + proteinuria + sediment) - never hand-set. Bitemporal DwellDays answers the audit's 'how long in this state.' Same trust boundary: labs are the LLM's/clinician's, the state is the model's. Diego Santos's first worked example computes (derived SledaiScore 12, High/flare).</t>
  </si>
  <si>
    <t>rule: lupus-nephritis-progression state machine - disease state DERIVED from raw serology</t>
  </si>
  <si>
    <t>state: v2 step3 - disease-state simulator; harness green, counter-example witnessed</t>
  </si>
  <si>
    <t xml:space="preserve"> - rule `rule: lupus-nephritis-progression state machine - disease state DERIVED from raw serology`; state `state: v2 step3 - disease-state simulator; harness green, counter-example witnessed`</t>
  </si>
  <si>
    <t>loop-treatment-line</t>
  </si>
  <si>
    <t>8</t>
  </si>
  <si>
    <t>Treatment-line recommendation + the disagreement counter-example</t>
  </si>
  <si>
    <t>The audit's second worked example, computed: a derived RecommendedTreatmentLine + single TreatmentLineDecidingFactor (mycophenolate for active nephritis, anifrolumab for type-I-IFN, belimumab for autoantibody-driven, secukinumab for IL-17/23) - differentiated by confirmed mechanism x disease state, never by a label. The load-bearing proof: Diego is progression_vs_actionability_disagree = TRUE - the disease-state simulator says he IS progressing (BiopsyIndicated, high activity) while the actionability gate says NOT actionable (cryptic-relatedness leakage). A pure evidence gate could never produce that sentence; that it can is the proof v2 != v1 relabeled.</t>
  </si>
  <si>
    <t>rule: RecommendedTreatmentLine + progression_vs_actionability_disagree counter-example</t>
  </si>
  <si>
    <t>state: v2 - treatment-line + disagreement; the two layers proven independent</t>
  </si>
  <si>
    <t xml:space="preserve"> - rule `rule: RecommendedTreatmentLine + progression_vs_actionability_disagree counter-example`; state `state: v2 - treatment-line + disagreement; the two layers proven independent`</t>
  </si>
  <si>
    <t>loop-cohort-discovery</t>
  </si>
  <si>
    <t>9</t>
  </si>
  <si>
    <t>Cohort discovery board - the corpus-level surface</t>
  </si>
  <si>
    <t>The doctor's deepest point: discovery is corpus-level - a single chart never discovers a mechanism, a pattern across many patients does. Build the top-level, all-roles Cohort discovery board over a 12-member claim-bearing cohort: the disease-state map, the emergent serology-signature scatter, the disease-vs-evidence disagreement board, and the treatment-line distribution - all reading derived fields. Per-patient progression + treatment-line tabs hang off the same model. The punchline, sorted to the top of the nav.</t>
  </si>
  <si>
    <t>rule: 12-member cohort expansion; corpus-level derived fields for the discovery board</t>
  </si>
  <si>
    <t>state: v2 steps9-10 - Cohort discovery is the top-level all-roles nav item</t>
  </si>
  <si>
    <t xml:space="preserve"> - rule `rule: 12-member cohort expansion; corpus-level derived fields for the discovery board`; state `state: v2 steps9-10 - Cohort discovery is the top-level all-roles nav item`</t>
  </si>
  <si>
    <t>loop-progression-admin</t>
  </si>
  <si>
    <t>10</t>
  </si>
  <si>
    <t>Progression machine in the state-machine admin</t>
  </si>
  <si>
    <t>The one concrete unbuilt admin-witness item. StateMachineView is hardcoded to diagnosis-lifecycle; lupus-nephritis-progression already lives in vw_state_machines and is served by the same router. Make StateMachineView select the machine (a binding change, not a model change): render its states, the 5 raw-leaf-triggered transition rules, and a per-state cohort-occupancy strip. Closes the loop between the disease-state simulator and its admin witness.</t>
  </si>
  <si>
    <t>none - app-only loop; occupancy already derived (IsCurrent), admin-witness binding only</t>
  </si>
  <si>
    <t>state: Loop 10 - progression machine bound into the state-machine admin; per-state cohort occupancy is the simulator's admin witness</t>
  </si>
  <si>
    <t xml:space="preserve"> - rule `none - app-only loop; occupancy already derived (IsCurrent), admin-witness binding only`; state `state: Loop 10 - progression machine bound into the state-machine admin; per-state cohort occupancy is the simulator's admin witness`</t>
  </si>
  <si>
    <t>loop-serology-discovery</t>
  </si>
  <si>
    <t>11</t>
  </si>
  <si>
    <t>Serology-signature discovery - emergent cluster, not a label</t>
  </si>
  <si>
    <t>Make the discovery claim falsifiable at corpus scale. The serology signature that PRECEDES nephritis (the rising-anti-dsDNA / falling-complement trajectory) should surface as a DERIVED corpus-level cluster on the cohort scatter - emergent from the population's raw serology series, not a label anyone assigned. Derive the cluster membership / signature-strength field in the hub so the discovery is reproducible and witnessed, then surface it on the cohort board. This is the literal answer to 'discovery is corpus-level.'</t>
  </si>
  <si>
    <t>rule: derive emergent pre-nephritic serology-signature cluster (IsPreNephriticSignaturePanel -&gt; CountPreNephriticSignaturePanels -&gt; IsInPreNephriticSignatureCluster + SignatureStrength)</t>
  </si>
  <si>
    <t>state: Loop 11 - emergent serology-signature cluster; 6/12 in cluster, perfectly separating active/progressing from quiescent; surfaced as derived halo on the cohort scatter</t>
  </si>
  <si>
    <t xml:space="preserve"> - rule `rule: derive emergent pre-nephritic serology-signature cluster (IsPreNephriticSignaturePanel -&gt; CountPreNephriticSignaturePanels -&gt; IsInPreNephriticSignatureCluster + SignatureStrength)`; state `state: Loop 11 - emergent serology-signature cluster; 6/12 in cluster, perfectly separating active/progressing from quiescent; surfaced as derived halo on the cohort scatter`</t>
  </si>
  <si>
    <t>loop-prune-nonloadbearing</t>
  </si>
  <si>
    <t>12</t>
  </si>
  <si>
    <t>Prune excess engineering - keep only what is load-bearing for the v1 audit response</t>
  </si>
  <si>
    <t>A deliberate trimming pass (NOT a delete spree). Walk the model, the app, and the docs and find anything that was UPGRADED or SUPERSEDED and now lingers as a duplicate, plus any engineering that is not actually load-bearing toward the clearest pedagogical answer to the v1 audit. Candidates to scrutinise: superseded prediction types that don't earn their keep (e.g. a 4th parallel adverse-effect prediction once severity + treatment-response + treatment-line exist), redundant ontology slots that no longer carry a claim, and any view/endpoint with no consumer. Promotion rule inverted: if a thing is neither traceable to problem-to-solve.md nor load-bearing toward the keystone or the audit response, retire it. Goal: the clearest, most complete, DUPLICATE-FREE representation of the problem - so the audit response is concise as well as complete.</t>
  </si>
  <si>
    <t>none - verification loop, no rule change; inventory found nothing load-bearing to retire</t>
  </si>
  <si>
    <t>state: Loop 12 - verified lean. Every endpoint is consumed (client or witnessed harness); no 4th adverse-effect prediction exists; the 3 zero-ref context tables (CounterfactualTrajectories/EnvironmentalExposures/TherapyOptions) are each named in problem-to-solve.md so they stay as honest schema coverage; no duplicate ontology slots or dead calc fields. The inverted promotion rule held: nothing is neither-traceable-nor-load-bearing.</t>
  </si>
  <si>
    <t xml:space="preserve"> - rule `none - verification loop, no rule change; inventory found nothing load-bearing to retire`; state `state: Loop 12 - verified lean. Every endpoint is consumed (client or witnessed harness); no 4th adverse-effect prediction exists; the 3 zero-ref context tables are each named in problem-to-solve.md so they stay as honest schema coverage; no duplicate ontology slots or dead calc fields.`</t>
  </si>
  <si>
    <t>loop-llm-intake</t>
  </si>
  <si>
    <t>13</t>
  </si>
  <si>
    <t>LLM intake clerk + synthetic lab</t>
  </si>
  <si>
    <t>FUTURE ROADMAP (not part of the v1-audit response - this is the framework-thesis deliverable, the next conversation). The trust-boundary payoff: wire the LLM to read a natural-language case and write ONLY leaf observations - intake facts + synthetic-but-transparent test results - with the three-panel witness (case text / extracted facts with per-fact provenance / derived diagnosis + gate trace). The LLM never computes a higher-order inference; every value it emits is an editable knob. Demotes the model to a replaceable, fully-overridable transcriber - the structural defeat of 'a hallucination laundered through a deterministic function.'</t>
  </si>
  <si>
    <t>roadmap</t>
  </si>
  <si>
    <t>rule (if any) for provenance fields</t>
  </si>
  <si>
    <t>state: LLM intake clerk, everything-is-a-knob</t>
  </si>
  <si>
    <t>[ROADMAP]</t>
  </si>
  <si>
    <t>loop-equity</t>
  </si>
  <si>
    <t>14</t>
  </si>
  <si>
    <t>Cohort-level equity report</t>
  </si>
  <si>
    <t>FUTURE ROADMAP (traceable to the original challenge's equity requirement, but not part of the v1-audit response). Ancestry-equity made structural and corpus-level: calibration and actionability rates by ancestry (gates 2 and 4 of the keystone) as a derived dashboard, complementing the cohort discovery board. Equity is a checkable rate, not a promise.</t>
  </si>
  <si>
    <t>RoutingAndNavigationId</t>
  </si>
  <si>
    <t>DisplayName</t>
  </si>
  <si>
    <t>Route</t>
  </si>
  <si>
    <t>ParentRouteKey</t>
  </si>
  <si>
    <t>RouteKey</t>
  </si>
  <si>
    <t>NavLevel</t>
  </si>
  <si>
    <t>RoleVisibility</t>
  </si>
  <si>
    <t>PrimaryTable</t>
  </si>
  <si>
    <t>PrimaryView</t>
  </si>
  <si>
    <t>IconHint</t>
  </si>
  <si>
    <t>IsDynamic</t>
  </si>
  <si>
    <t>PinToTop</t>
  </si>
  <si>
    <t>AdminCRUD</t>
  </si>
  <si>
    <t>IntakeClinicianCRUD</t>
  </si>
  <si>
    <t>DiagnosingDoctorCRUD</t>
  </si>
  <si>
    <t>ExternalLlmCRUD</t>
  </si>
  <si>
    <t>AdminCanCreate</t>
  </si>
  <si>
    <t>AdminCanRead</t>
  </si>
  <si>
    <t>AdminCanUpdate</t>
  </si>
  <si>
    <t>AdminCanDelete</t>
  </si>
  <si>
    <t>IntakeClinicianCanCreate</t>
  </si>
  <si>
    <t>IntakeClinicianCanRead</t>
  </si>
  <si>
    <t>IntakeClinicianCanUpdate</t>
  </si>
  <si>
    <t>IntakeClinicianCanDelete</t>
  </si>
  <si>
    <t>DiagnosingDoctorCanCreate</t>
  </si>
  <si>
    <t>DiagnosingDoctorCanRead</t>
  </si>
  <si>
    <t>DiagnosingDoctorCanUpdate</t>
  </si>
  <si>
    <t>DiagnosingDoctorCanDelete</t>
  </si>
  <si>
    <t>ExternalLlmCanCreate</t>
  </si>
  <si>
    <t>ExternalLlmCanRead</t>
  </si>
  <si>
    <t>ExternalLlmCanUpdate</t>
  </si>
  <si>
    <t>ExternalLlmCanDelete</t>
  </si>
  <si>
    <t>Depth</t>
  </si>
  <si>
    <t>FullPath</t>
  </si>
  <si>
    <t>HandlerBaseName</t>
  </si>
  <si>
    <t>CreatedAt</t>
  </si>
  <si>
    <t>CreatedBy</t>
  </si>
  <si>
    <t>ModifiedAt</t>
  </si>
  <si>
    <t>ModifiedBy</t>
  </si>
  <si>
    <t>ModifiedByModel</t>
  </si>
  <si>
    <t>nav-intake</t>
  </si>
  <si>
    <t>Intake</t>
  </si>
  <si>
    <t>/intake</t>
  </si>
  <si>
    <t>Clinician intake workspace — bring a new patient case in.</t>
  </si>
  <si>
    <t>intake</t>
  </si>
  <si>
    <t>top</t>
  </si>
  <si>
    <t>admin,intake-clinician</t>
  </si>
  <si>
    <t>vw_individuals</t>
  </si>
  <si>
    <t>clipboard-plus</t>
  </si>
  <si>
    <t>CRUD</t>
  </si>
  <si>
    <t>CRU</t>
  </si>
  <si>
    <t>build-seed</t>
  </si>
  <si>
    <t>nav-intake-new</t>
  </si>
  <si>
    <t>New Patient</t>
  </si>
  <si>
    <t>/intake/new-patient/:caseId</t>
  </si>
  <si>
    <t>Open or start a case by slug, e.g. /intake/new-patient/reyes-ana.</t>
  </si>
  <si>
    <t>intake.new-patient</t>
  </si>
  <si>
    <t>sub</t>
  </si>
  <si>
    <t>user-plus</t>
  </si>
  <si>
    <t>nav-intake-observations</t>
  </si>
  <si>
    <t>Observations</t>
  </si>
  <si>
    <t>/intake/new-patient/:caseId/observations</t>
  </si>
  <si>
    <t>Raw presenting facts: ancestry, age, federated node, cryptic-relatedness flag.</t>
  </si>
  <si>
    <t>intake.new-patient.observations</t>
  </si>
  <si>
    <t>leaf</t>
  </si>
  <si>
    <t>stethoscope</t>
  </si>
  <si>
    <t>nav-intake-variants</t>
  </si>
  <si>
    <t>Variants</t>
  </si>
  <si>
    <t>/intake/new-patient/:caseId/variants</t>
  </si>
  <si>
    <t>Genomic variant calls: allele frequency, allele-specific expression.</t>
  </si>
  <si>
    <t>intake.new-patient.variants</t>
  </si>
  <si>
    <t>vw_genomic_variants</t>
  </si>
  <si>
    <t>dna</t>
  </si>
  <si>
    <t>nav-intake-assays</t>
  </si>
  <si>
    <t>Assays</t>
  </si>
  <si>
    <t>/intake/new-patient/:caseId/assays</t>
  </si>
  <si>
    <t>Omics assays per modality/tissue: measurement error, cell-state effects.</t>
  </si>
  <si>
    <t>intake.new-patient.assays</t>
  </si>
  <si>
    <t>vw_omics_assays</t>
  </si>
  <si>
    <t>flask-conical</t>
  </si>
  <si>
    <t>nav-intake-submit</t>
  </si>
  <si>
    <t>Submit Case</t>
  </si>
  <si>
    <t>/intake/new-patient/:caseId/submit</t>
  </si>
  <si>
    <t>Hand the assembled raw facts to the deterministic inference graph.</t>
  </si>
  <si>
    <t>intake.new-patient.submit</t>
  </si>
  <si>
    <t>send</t>
  </si>
  <si>
    <t>RU</t>
  </si>
  <si>
    <t>nav-diagnosis</t>
  </si>
  <si>
    <t>Diagnosis</t>
  </si>
  <si>
    <t>/diagnosis</t>
  </si>
  <si>
    <t>Diagnosing doctor workspace — walk a case to its keystone.</t>
  </si>
  <si>
    <t>diagnosis</t>
  </si>
  <si>
    <t>admin,diagnosing-doctor</t>
  </si>
  <si>
    <t>vw_individual_predictions</t>
  </si>
  <si>
    <t>brain-circuit</t>
  </si>
  <si>
    <t>R</t>
  </si>
  <si>
    <t>nav-diagnosis-case</t>
  </si>
  <si>
    <t>Case</t>
  </si>
  <si>
    <t>/diagnosis/case/:predictionId</t>
  </si>
  <si>
    <t>One case's diagnostic walk, anchored on its lifecycle state.</t>
  </si>
  <si>
    <t>diagnosis.case</t>
  </si>
  <si>
    <t>folder-open</t>
  </si>
  <si>
    <t>nav-diagnosis-evidence</t>
  </si>
  <si>
    <t>Evidence</t>
  </si>
  <si>
    <t>/diagnosis/case/:predictionId/evidence</t>
  </si>
  <si>
    <t>L1 evidence atoms: effect size / SE / ZStat, confound controls.</t>
  </si>
  <si>
    <t>diagnosis.case.evidence</t>
  </si>
  <si>
    <t>vw_evidence_items</t>
  </si>
  <si>
    <t>microscope</t>
  </si>
  <si>
    <t>nav-diagnosis-mechanism</t>
  </si>
  <si>
    <t>Mechanism</t>
  </si>
  <si>
    <t>/diagnosis/case/:predictionId/mechanism</t>
  </si>
  <si>
    <t>L2/L3 mechanism aggregations + IsCausalArchitectureNode verdict.</t>
  </si>
  <si>
    <t>diagnosis.case.mechanism</t>
  </si>
  <si>
    <t>vw_causal_mechanisms</t>
  </si>
  <si>
    <t>git-branch</t>
  </si>
  <si>
    <t>nav-diagnosis-replication</t>
  </si>
  <si>
    <t>Replication</t>
  </si>
  <si>
    <t>/diagnosis/case/:predictionId/replication</t>
  </si>
  <si>
    <t>Cross-cohort / cross-ancestry replication — the transport atoms.</t>
  </si>
  <si>
    <t>diagnosis.case.replication</t>
  </si>
  <si>
    <t>vw_cohort_replications</t>
  </si>
  <si>
    <t>copy-check</t>
  </si>
  <si>
    <t>nav-diagnosis-controls</t>
  </si>
  <si>
    <t>Neg Controls</t>
  </si>
  <si>
    <t>/diagnosis/case/:predictionId/controls</t>
  </si>
  <si>
    <t>Permutation / stratification controls — the anti-spurious atoms.</t>
  </si>
  <si>
    <t>diagnosis.case.controls</t>
  </si>
  <si>
    <t>vw_negative_control_tests</t>
  </si>
  <si>
    <t>shield</t>
  </si>
  <si>
    <t>nav-diagnosis-calibration</t>
  </si>
  <si>
    <t>Calibration</t>
  </si>
  <si>
    <t>/diagnosis/case/:predictionId/calibration</t>
  </si>
  <si>
    <t>Per-bin reliability coverage — the calibration atoms.</t>
  </si>
  <si>
    <t>diagnosis.case.calibration</t>
  </si>
  <si>
    <t>vw_calibration_bins</t>
  </si>
  <si>
    <t>gauge</t>
  </si>
  <si>
    <t>nav-diagnosis-gates</t>
  </si>
  <si>
    <t>Gates</t>
  </si>
  <si>
    <t>/diagnosis/case/:predictionId/gates</t>
  </si>
  <si>
    <t>The four gates: confidence, falsifiability, transport, predicted value.</t>
  </si>
  <si>
    <t>diagnosis.case.gates</t>
  </si>
  <si>
    <t>door-open</t>
  </si>
  <si>
    <t>nav-diagnosis-keystone</t>
  </si>
  <si>
    <t>Keystone</t>
  </si>
  <si>
    <t>/diagnosis/case/:predictionId/keystone</t>
  </si>
  <si>
    <t>IsClinicallyActionable — the derived conclusion.</t>
  </si>
  <si>
    <t>diagnosis.case.keystone</t>
  </si>
  <si>
    <t>key-round</t>
  </si>
  <si>
    <t>nav-diagnosis-report</t>
  </si>
  <si>
    <t>Report</t>
  </si>
  <si>
    <t>/diagnosis/case/:predictionId/report</t>
  </si>
  <si>
    <t>The derived, total-coverage diagnosis report: every patient word and every linked DAG node rendered as predicate-gated structured natural language, assembled from this case's narrative fragment fields. Markdown now -&gt; diagnosis.pdf once green.</t>
  </si>
  <si>
    <t>diagnosis.case.report</t>
  </si>
  <si>
    <t>file-text</t>
  </si>
  <si>
    <t>nav-admin</t>
  </si>
  <si>
    <t>Admin</t>
  </si>
  <si>
    <t>/admin</t>
  </si>
  <si>
    <t>Model &amp; platform administration.</t>
  </si>
  <si>
    <t>admin</t>
  </si>
  <si>
    <t>settings</t>
  </si>
  <si>
    <t>nav-admin-harness</t>
  </si>
  <si>
    <t>Harness</t>
  </si>
  <si>
    <t>/admin/harness</t>
  </si>
  <si>
    <t>The witnessed inference harness (home screen).</t>
  </si>
  <si>
    <t>admin.harness</t>
  </si>
  <si>
    <t>list-checks</t>
  </si>
  <si>
    <t>nav-admin-routing</t>
  </si>
  <si>
    <t>Routing</t>
  </si>
  <si>
    <t>/admin/routing</t>
  </si>
  <si>
    <t>Edit role-based navigation.</t>
  </si>
  <si>
    <t>admin.routing</t>
  </si>
  <si>
    <t>RoutingAndNavigation</t>
  </si>
  <si>
    <t>vw_routing_and_navigation</t>
  </si>
  <si>
    <t>route</t>
  </si>
  <si>
    <t>nav-admin-state-machine</t>
  </si>
  <si>
    <t>State Machine</t>
  </si>
  <si>
    <t>/admin/state-machine</t>
  </si>
  <si>
    <t>View/edit the diagnosis lifecycle.</t>
  </si>
  <si>
    <t>admin.state-machine</t>
  </si>
  <si>
    <t>StateMachines</t>
  </si>
  <si>
    <t>vw_state_machines</t>
  </si>
  <si>
    <t>workflow</t>
  </si>
  <si>
    <t>nav-admin-explainer</t>
  </si>
  <si>
    <t>Explainer DAG</t>
  </si>
  <si>
    <t>/admin/explainer</t>
  </si>
  <si>
    <t>Click any derived field to see how it was computed.</t>
  </si>
  <si>
    <t>admin.explainer</t>
  </si>
  <si>
    <t>share-2</t>
  </si>
  <si>
    <t>nav-admin-owl</t>
  </si>
  <si>
    <t>OWL Conformance</t>
  </si>
  <si>
    <t>/admin/owl</t>
  </si>
  <si>
    <t>Cross-substrate conformance: OWL-RL closure == Postgres closure (inference kind #7).</t>
  </si>
  <si>
    <t>admin.owl</t>
  </si>
  <si>
    <t>git-merge</t>
  </si>
  <si>
    <t>nav-admin-cohort</t>
  </si>
  <si>
    <t>Cohort discovery</t>
  </si>
  <si>
    <t>/cohort</t>
  </si>
  <si>
    <t>All 7 cases and their keystone verdicts.</t>
  </si>
  <si>
    <t>admin.cohort</t>
  </si>
  <si>
    <t>admin,diagnosing-doctor,intake-clinician</t>
  </si>
  <si>
    <t>users</t>
  </si>
  <si>
    <t>nav-admin-loops</t>
  </si>
  <si>
    <t>Effortless Loops</t>
  </si>
  <si>
    <t>/admin/loops</t>
  </si>
  <si>
    <t>Edit the Effortless loop plan rows and regenerate EFFORTLESS_LOOPS.md.</t>
  </si>
  <si>
    <t>admin.loops</t>
  </si>
  <si>
    <t>EffortlessLoops</t>
  </si>
  <si>
    <t>vw_effortless_loops</t>
  </si>
  <si>
    <t>repeat</t>
  </si>
  <si>
    <t>StateMachineId</t>
  </si>
  <si>
    <t>SubjectTableName</t>
  </si>
  <si>
    <t>SubjectStateColumn</t>
  </si>
  <si>
    <t>MachineStates</t>
  </si>
  <si>
    <t>StateTransitionRules</t>
  </si>
  <si>
    <t>StateTransitions</t>
  </si>
  <si>
    <t>StateCount</t>
  </si>
  <si>
    <t>TransitionRuleCount</t>
  </si>
  <si>
    <t>diagnosis-lifecycle</t>
  </si>
  <si>
    <t>Diagnosis Lifecycle</t>
  </si>
  <si>
    <t>Walks each case from Intake through the four gates to a terminal Actionable / NotActionable verdict. Each patient branches at its single deciding gate. Current state is DERIVED (IndividualPredictions.LifecycleStateKey); the transition log is the witnessed history.</t>
  </si>
  <si>
    <t>lupus-nephritis-progression</t>
  </si>
  <si>
    <t>Lupus-Nephritis Progression</t>
  </si>
  <si>
    <t>Disease-state simulator: a patient's lupus-nephritis course derived from raw serology trajectories. Presymptomatic -&gt; SerologicActive -&gt; EarlyNephritis -&gt; RenalFlareRisk -&gt; BiopsyIndicated (+ Quiescent). Current state is the derived Individuals.NephritisProgressionStateKey; never hand-set.</t>
  </si>
  <si>
    <t>v2-step3</t>
  </si>
  <si>
    <t>claude-opus-4-8</t>
  </si>
  <si>
    <t>MachineStateId</t>
  </si>
  <si>
    <t>StateMachine</t>
  </si>
  <si>
    <t>StateKey</t>
  </si>
  <si>
    <t>OrderIndex</t>
  </si>
  <si>
    <t>IsInitial</t>
  </si>
  <si>
    <t>IsTerminal</t>
  </si>
  <si>
    <t>FromTransitionRules</t>
  </si>
  <si>
    <t>ToTransitionRules</t>
  </si>
  <si>
    <t>ReachableStateCount</t>
  </si>
  <si>
    <t>diagnosis-lifecycle--intake</t>
  </si>
  <si>
    <t>diagnosis-lifecycle--evidenceassessed</t>
  </si>
  <si>
    <t>EvidenceAssessed</t>
  </si>
  <si>
    <t>diagnosis-lifecycle--mechanismconfirmed</t>
  </si>
  <si>
    <t>MechanismConfirmed</t>
  </si>
  <si>
    <t>diagnosis-lifecycle--calibrationchecked</t>
  </si>
  <si>
    <t>CalibrationChecked</t>
  </si>
  <si>
    <t>diagnosis-lifecycle--transportchecked</t>
  </si>
  <si>
    <t>TransportChecked</t>
  </si>
  <si>
    <t>diagnosis-lifecycle--actionable</t>
  </si>
  <si>
    <t>Actionable</t>
  </si>
  <si>
    <t>diagnosis-lifecycle--notactionable</t>
  </si>
  <si>
    <t>NotActionable</t>
  </si>
  <si>
    <t>lupus-nephritis-progression--quiescent</t>
  </si>
  <si>
    <t>Quiescent</t>
  </si>
  <si>
    <t>Quiescent / in remission</t>
  </si>
  <si>
    <t>lupus-nephritis-progression--presymptomaticautoimmunity</t>
  </si>
  <si>
    <t>PresymptomaticAutoimmunity</t>
  </si>
  <si>
    <t>Presymptomatic autoimmunity (serology only)</t>
  </si>
  <si>
    <t>lupus-nephritis-progression--serologicactive</t>
  </si>
  <si>
    <t>SerologicActive</t>
  </si>
  <si>
    <t>Serologically active (rising dsDNA / falling complement)</t>
  </si>
  <si>
    <t>lupus-nephritis-progression--earlynephritis</t>
  </si>
  <si>
    <t>EarlyNephritis</t>
  </si>
  <si>
    <t>Early nephritis (significant proteinuria)</t>
  </si>
  <si>
    <t>lupus-nephritis-progression--renalflarerisk</t>
  </si>
  <si>
    <t>RenalFlareRisk</t>
  </si>
  <si>
    <t>At risk of renal flare</t>
  </si>
  <si>
    <t>lupus-nephritis-progression--biopsyindicated</t>
  </si>
  <si>
    <t>BiopsyIndicated</t>
  </si>
  <si>
    <t>Biopsy indicated</t>
  </si>
  <si>
    <t>StateTransitionRuleId</t>
  </si>
  <si>
    <t>FromState</t>
  </si>
  <si>
    <t>ToState</t>
  </si>
  <si>
    <t>GuardDescription</t>
  </si>
  <si>
    <t>RuleRefs</t>
  </si>
  <si>
    <t>TriggerEndpoint</t>
  </si>
  <si>
    <t>TriggeredByRole</t>
  </si>
  <si>
    <t>FromStateKey</t>
  </si>
  <si>
    <t>ToStateKey</t>
  </si>
  <si>
    <t>IsForwardEdge</t>
  </si>
  <si>
    <t>ProgressionClosure</t>
  </si>
  <si>
    <t>diagnosis-lifecycle--intake-&gt;evidenceassessed</t>
  </si>
  <si>
    <t>Intake facts transcribed; evidence atoms computed.</t>
  </si>
  <si>
    <t>system</t>
  </si>
  <si>
    <t>diagnosis-lifecycle--evidenceassessed-&gt;mechanismconfirmed</t>
  </si>
  <si>
    <t>IsCausalArchitectureNode TRUE (replicated, controls survive, &gt;=2 modalities).</t>
  </si>
  <si>
    <t>diagnosis-lifecycle--evidenceassessed-&gt;notactionable</t>
  </si>
  <si>
    <t>Spurious mechanism OR no falsifiability (0 intervention targets).</t>
  </si>
  <si>
    <t>diagnosis-lifecycle--mechanismconfirmed-&gt;calibrationchecked</t>
  </si>
  <si>
    <t>RestsOnConfirmedMechanism and no cryptic leakage.</t>
  </si>
  <si>
    <t>diagnosis-lifecycle--mechanismconfirmed-&gt;notactionable</t>
  </si>
  <si>
    <t>Cryptic-relatedness leakage ⇒ HasSpuriousCorrelationFlag.</t>
  </si>
  <si>
    <t>diagnosis-lifecycle--calibrationchecked-&gt;transportchecked</t>
  </si>
  <si>
    <t>CalibratedUncertainty &gt;= 0.7.</t>
  </si>
  <si>
    <t>diagnosis-lifecycle--calibrationchecked-&gt;notactionable</t>
  </si>
  <si>
    <t>CalibratedUncertainty &lt; 0.7 (calibration gate fails).</t>
  </si>
  <si>
    <t>diagnosis-lifecycle--transportchecked-&gt;actionable</t>
  </si>
  <si>
    <t>IsAncestryTransportSafe AND keystone holds.</t>
  </si>
  <si>
    <t>diagnosis-lifecycle--transportchecked-&gt;notactionable</t>
  </si>
  <si>
    <t>NOT IsAncestryTransportSafe (ancestry-transport gate fails).</t>
  </si>
  <si>
    <t>lupus-nephritis-progression--presymptomaticautoimmunity-&gt;serologicactive</t>
  </si>
  <si>
    <t>anti-dsDNA Rising AND complement Falling</t>
  </si>
  <si>
    <t>SERO-ACTIVE</t>
  </si>
  <si>
    <t>/api/individuals/:id/serology</t>
  </si>
  <si>
    <t>lupus-nephritis-progression--serologicactive-&gt;earlynephritis</t>
  </si>
  <si>
    <t>proteinuria &gt;= 0.5 g/day</t>
  </si>
  <si>
    <t>NEPH-ONSET</t>
  </si>
  <si>
    <t>lupus-nephritis-progression--earlynephritis-&gt;renalflarerisk</t>
  </si>
  <si>
    <t>proteinuria &gt;= 1.0 g/day</t>
  </si>
  <si>
    <t>FLARE-RISK</t>
  </si>
  <si>
    <t>lupus-nephritis-progression--renalflarerisk-&gt;biopsyindicated</t>
  </si>
  <si>
    <t>nephrotic-range proteinuria OR active urinary sediment</t>
  </si>
  <si>
    <t>BIOPSY-IND</t>
  </si>
  <si>
    <t>lupus-nephritis-progression--serologicactive-&gt;quiescent</t>
  </si>
  <si>
    <t>dsDNA Falling AND complement Rising AND proteinuria &lt; 0.5</t>
  </si>
  <si>
    <t>REMISSION</t>
  </si>
  <si>
    <t>StateTransitionId</t>
  </si>
  <si>
    <t>SubjectId</t>
  </si>
  <si>
    <t>TransitionAt</t>
  </si>
  <si>
    <t>Reason</t>
  </si>
  <si>
    <t>IsForward</t>
  </si>
  <si>
    <t>st-a-02-intake-to-evidenceassessed</t>
  </si>
  <si>
    <t>Intake → EvidenceAssessed.</t>
  </si>
  <si>
    <t>st-a-03-evidenceassessed-to-mechanismconfirmed</t>
  </si>
  <si>
    <t>EvidenceAssessed → MechanismConfirmed.</t>
  </si>
  <si>
    <t>st-a-04-mechanismconfirmed-to-calibrationchecked</t>
  </si>
  <si>
    <t>MechanismConfirmed → CalibrationChecked.</t>
  </si>
  <si>
    <t>st-a-05-calibrationchecked-to-transportchecked</t>
  </si>
  <si>
    <t>CalibrationChecked → TransportChecked.</t>
  </si>
  <si>
    <t>st-a-06-transportchecked-to-actionable</t>
  </si>
  <si>
    <t>all gates pass.</t>
  </si>
  <si>
    <t>st-b-02-intake-to-evidenceassessed</t>
  </si>
  <si>
    <t>st-b-03-evidenceassessed-to-mechanismconfirmed</t>
  </si>
  <si>
    <t>st-b-04-mechanismconfirmed-to-calibrationchecked</t>
  </si>
  <si>
    <t>st-b-05-calibrationchecked-to-notactionable</t>
  </si>
  <si>
    <t>calibration gate fails.</t>
  </si>
  <si>
    <t>st-c-02-intake-to-evidenceassessed</t>
  </si>
  <si>
    <t>st-c-03-evidenceassessed-to-notactionable</t>
  </si>
  <si>
    <t>spurious mechanism.</t>
  </si>
  <si>
    <t>st-d-02-intake-to-evidenceassessed</t>
  </si>
  <si>
    <t>st-d-03-evidenceassessed-to-mechanismconfirmed</t>
  </si>
  <si>
    <t>st-d-04-mechanismconfirmed-to-notactionable</t>
  </si>
  <si>
    <t>cryptic relatedness.</t>
  </si>
  <si>
    <t>st-e-02-intake-to-evidenceassessed</t>
  </si>
  <si>
    <t>st-e-03-evidenceassessed-to-notactionable</t>
  </si>
  <si>
    <t>falsifiability gate fails.</t>
  </si>
  <si>
    <t>st-f-02-intake-to-evidenceassessed</t>
  </si>
  <si>
    <t>st-f-03-evidenceassessed-to-mechanismconfirmed</t>
  </si>
  <si>
    <t>st-f-04-mechanismconfirmed-to-calibrationchecked</t>
  </si>
  <si>
    <t>st-f-05-calibrationchecked-to-transportchecked</t>
  </si>
  <si>
    <t>st-f-06-transportchecked-to-notactionable</t>
  </si>
  <si>
    <t>ancestry-transport gate fails.</t>
  </si>
  <si>
    <t>st-g-02-intake-to-evidenceassessed</t>
  </si>
  <si>
    <t>st-g-03-evidenceassessed-to-mechanismconfirmed</t>
  </si>
  <si>
    <t>st-g-04-mechanismconfirmed-to-calibrationchecked</t>
  </si>
  <si>
    <t>st-g-05-calibrationchecked-to-transportchecked</t>
  </si>
  <si>
    <t>st-g-06-transportchecked-to-actionable</t>
  </si>
  <si>
    <t>transport passes — actionable despite holdout.</t>
  </si>
  <si>
    <t>st-ind-a-reyes-presymptomaticautoimmunity-1</t>
  </si>
  <si>
    <t>Serology-derived transition to PresymptomaticAutoimmunity</t>
  </si>
  <si>
    <t>st-ind-a-reyes-serologicactive-2</t>
  </si>
  <si>
    <t>Serology-derived transition to SerologicActive</t>
  </si>
  <si>
    <t>st-ind-b-okafor-presymptomaticautoimmunity-1</t>
  </si>
  <si>
    <t>st-ind-c-chen-presymptomaticautoimmunity-1</t>
  </si>
  <si>
    <t>st-ind-c-chen-serologicactive-2</t>
  </si>
  <si>
    <t>st-ind-d-santos-presymptomaticautoimmunity-1</t>
  </si>
  <si>
    <t>st-ind-d-santos-renalflarerisk-2</t>
  </si>
  <si>
    <t>Serology-derived transition to RenalFlareRisk</t>
  </si>
  <si>
    <t>st-ind-d-santos-biopsyindicated-3</t>
  </si>
  <si>
    <t>Serology-derived transition to BiopsyIndicated</t>
  </si>
  <si>
    <t>st-ind-e-mensah-presymptomaticautoimmunity-1</t>
  </si>
  <si>
    <t>st-ind-f-haidar-presymptomaticautoimmunity-1</t>
  </si>
  <si>
    <t>st-ind-g-lin-presymptomaticautoimmunity-1</t>
  </si>
  <si>
    <t>st-ind-h-yamamoto-presymptomaticautoimmunity-1</t>
  </si>
  <si>
    <t>st-ind-h-yamamoto-earlynephritis-2</t>
  </si>
  <si>
    <t>Serology-derived transition to EarlyNephritis</t>
  </si>
  <si>
    <t>st-pred-h-intake-1</t>
  </si>
  <si>
    <t>Lifecycle transition to Intake</t>
  </si>
  <si>
    <t>v2-step10</t>
  </si>
  <si>
    <t>st-pred-h-evidenceassessed-2</t>
  </si>
  <si>
    <t>Lifecycle transition to EvidenceAssessed</t>
  </si>
  <si>
    <t>st-pred-h-mechanismconfirmed-3</t>
  </si>
  <si>
    <t>Lifecycle transition to MechanismConfirmed</t>
  </si>
  <si>
    <t>st-pred-h-calibrationchecked-4</t>
  </si>
  <si>
    <t>Lifecycle transition to CalibrationChecked</t>
  </si>
  <si>
    <t>st-pred-h-transportchecked-5</t>
  </si>
  <si>
    <t>Lifecycle transition to TransportChecked</t>
  </si>
  <si>
    <t>st-pred-h-actionable-6</t>
  </si>
  <si>
    <t>Lifecycle transition to Actionable</t>
  </si>
  <si>
    <t>st-ind-i-conteh-earlynephritis-1</t>
  </si>
  <si>
    <t>st-ind-i-conteh-renalflarerisk-2</t>
  </si>
  <si>
    <t>st-pred-i-intake-1</t>
  </si>
  <si>
    <t>st-pred-i-evidenceassessed-2</t>
  </si>
  <si>
    <t>st-pred-i-mechanismconfirmed-3</t>
  </si>
  <si>
    <t>st-pred-i-notactionable-4</t>
  </si>
  <si>
    <t>Lifecycle transition to NotActionable</t>
  </si>
  <si>
    <t>st-ind-j-brooks-presymptomaticautoimmunity-1</t>
  </si>
  <si>
    <t>st-ind-j-brooks-serologicactive-2</t>
  </si>
  <si>
    <t>st-pred-j-intake-1</t>
  </si>
  <si>
    <t>st-pred-j-evidenceassessed-2</t>
  </si>
  <si>
    <t>st-pred-j-mechanismconfirmed-3</t>
  </si>
  <si>
    <t>st-pred-j-calibrationchecked-4</t>
  </si>
  <si>
    <t>st-pred-j-notactionable-5</t>
  </si>
  <si>
    <t>st-ind-k-nair-presymptomaticautoimmunity-1</t>
  </si>
  <si>
    <t>st-pred-k-intake-1</t>
  </si>
  <si>
    <t>st-pred-k-evidenceassessed-2</t>
  </si>
  <si>
    <t>st-pred-k-mechanismconfirmed-3</t>
  </si>
  <si>
    <t>st-pred-k-calibrationchecked-4</t>
  </si>
  <si>
    <t>st-pred-k-transportchecked-5</t>
  </si>
  <si>
    <t>st-pred-k-notactionable-6</t>
  </si>
  <si>
    <t>st-ind-l-brandt-presymptomaticautoimmunity-1</t>
  </si>
  <si>
    <t>st-pred-l-intake-1</t>
  </si>
  <si>
    <t>st-pred-l-evidenceassessed-2</t>
  </si>
  <si>
    <t>st-pred-l-mechanismconfirmed-3</t>
  </si>
  <si>
    <t>st-pred-l-calibrationchecked-4</t>
  </si>
  <si>
    <t>st-pred-l-transportchecked-5</t>
  </si>
  <si>
    <t>st-pred-l-actionable-6</t>
  </si>
  <si>
    <t>SubjectStateInstanceId</t>
  </si>
  <si>
    <t>EnteredAt</t>
  </si>
  <si>
    <t>ExitedAt</t>
  </si>
  <si>
    <t>SequenceIndex</t>
  </si>
  <si>
    <t>PriorInstance</t>
  </si>
  <si>
    <t>EnteredViaTransition</t>
  </si>
  <si>
    <t>IsCurrent</t>
  </si>
  <si>
    <t>HasCompleteLineage</t>
  </si>
  <si>
    <t>DwellDays</t>
  </si>
  <si>
    <t>IsLongDwell</t>
  </si>
  <si>
    <t>ssi-pred-a-intake-1</t>
  </si>
  <si>
    <t>ssi-pred-a-evidenceassessed-2</t>
  </si>
  <si>
    <t>ssi-pred-a-mechanismconfirmed-3</t>
  </si>
  <si>
    <t>ssi-pred-a-calibrationchecked-4</t>
  </si>
  <si>
    <t>ssi-pred-a-transportchecked-5</t>
  </si>
  <si>
    <t>ssi-pred-a-actionable-6</t>
  </si>
  <si>
    <t>ssi-pred-b-intake-1</t>
  </si>
  <si>
    <t>ssi-pred-b-evidenceassessed-2</t>
  </si>
  <si>
    <t>ssi-pred-b-mechanismconfirmed-3</t>
  </si>
  <si>
    <t>ssi-pred-b-calibrationchecked-4</t>
  </si>
  <si>
    <t>ssi-pred-b-notactionable-5</t>
  </si>
  <si>
    <t>ssi-pred-c-intake-1</t>
  </si>
  <si>
    <t>ssi-pred-c-evidenceassessed-2</t>
  </si>
  <si>
    <t>ssi-pred-c-notactionable-3</t>
  </si>
  <si>
    <t>ssi-pred-d-intake-1</t>
  </si>
  <si>
    <t>ssi-pred-d-evidenceassessed-2</t>
  </si>
  <si>
    <t>ssi-pred-d-mechanismconfirmed-3</t>
  </si>
  <si>
    <t>ssi-pred-d-notactionable-4</t>
  </si>
  <si>
    <t>ssi-pred-e-intake-1</t>
  </si>
  <si>
    <t>ssi-pred-e-evidenceassessed-2</t>
  </si>
  <si>
    <t>ssi-pred-e-notactionable-3</t>
  </si>
  <si>
    <t>ssi-pred-f-intake-1</t>
  </si>
  <si>
    <t>ssi-pred-f-evidenceassessed-2</t>
  </si>
  <si>
    <t>ssi-pred-f-mechanismconfirmed-3</t>
  </si>
  <si>
    <t>ssi-pred-f-calibrationchecked-4</t>
  </si>
  <si>
    <t>ssi-pred-f-transportchecked-5</t>
  </si>
  <si>
    <t>ssi-pred-f-notactionable-6</t>
  </si>
  <si>
    <t>ssi-pred-g-intake-1</t>
  </si>
  <si>
    <t>ssi-pred-g-evidenceassessed-2</t>
  </si>
  <si>
    <t>ssi-pred-g-mechanismconfirmed-3</t>
  </si>
  <si>
    <t>ssi-pred-g-calibrationchecked-4</t>
  </si>
  <si>
    <t>ssi-pred-g-transportchecked-5</t>
  </si>
  <si>
    <t>ssi-pred-g-actionable-6</t>
  </si>
  <si>
    <t>ssi-ind-a-reyes-presymptomaticautoimmunity-1</t>
  </si>
  <si>
    <t>ssi-ind-a-reyes-serologicactive-2</t>
  </si>
  <si>
    <t>ssi-ind-b-okafor-presymptomaticautoimmunity-1</t>
  </si>
  <si>
    <t>ssi-ind-c-chen-presymptomaticautoimmunity-1</t>
  </si>
  <si>
    <t>ssi-ind-c-chen-serologicactive-2</t>
  </si>
  <si>
    <t>ssi-ind-d-santos-presymptomaticautoimmunity-1</t>
  </si>
  <si>
    <t>ssi-ind-d-santos-renalflarerisk-2</t>
  </si>
  <si>
    <t>ssi-ind-d-santos-biopsyindicated-3</t>
  </si>
  <si>
    <t>ssi-ind-e-mensah-presymptomaticautoimmunity-1</t>
  </si>
  <si>
    <t>ssi-ind-f-haidar-presymptomaticautoimmunity-1</t>
  </si>
  <si>
    <t>ssi-ind-g-lin-presymptomaticautoimmunity-1</t>
  </si>
  <si>
    <t>ssi-ind-h-yamamoto-presymptomaticautoimmunity-1</t>
  </si>
  <si>
    <t>ssi-ind-h-yamamoto-earlynephritis-2</t>
  </si>
  <si>
    <t>ssi-pred-h-intake-1</t>
  </si>
  <si>
    <t>ssi-pred-h-evidenceassessed-2</t>
  </si>
  <si>
    <t>ssi-pred-h-mechanismconfirmed-3</t>
  </si>
  <si>
    <t>ssi-pred-h-calibrationchecked-4</t>
  </si>
  <si>
    <t>ssi-pred-h-transportchecked-5</t>
  </si>
  <si>
    <t>ssi-pred-h-actionable-6</t>
  </si>
  <si>
    <t>ssi-ind-i-conteh-earlynephritis-1</t>
  </si>
  <si>
    <t>ssi-ind-i-conteh-renalflarerisk-2</t>
  </si>
  <si>
    <t>ssi-pred-i-intake-1</t>
  </si>
  <si>
    <t>ssi-pred-i-evidenceassessed-2</t>
  </si>
  <si>
    <t>ssi-pred-i-mechanismconfirmed-3</t>
  </si>
  <si>
    <t>ssi-pred-i-notactionable-4</t>
  </si>
  <si>
    <t>ssi-ind-j-brooks-presymptomaticautoimmunity-1</t>
  </si>
  <si>
    <t>ssi-ind-j-brooks-serologicactive-2</t>
  </si>
  <si>
    <t>ssi-pred-j-intake-1</t>
  </si>
  <si>
    <t>ssi-pred-j-evidenceassessed-2</t>
  </si>
  <si>
    <t>ssi-pred-j-mechanismconfirmed-3</t>
  </si>
  <si>
    <t>ssi-pred-j-calibrationchecked-4</t>
  </si>
  <si>
    <t>ssi-pred-j-notactionable-5</t>
  </si>
  <si>
    <t>ssi-ind-k-nair-presymptomaticautoimmunity-1</t>
  </si>
  <si>
    <t>ssi-pred-k-intake-1</t>
  </si>
  <si>
    <t>ssi-pred-k-evidenceassessed-2</t>
  </si>
  <si>
    <t>ssi-pred-k-mechanismconfirmed-3</t>
  </si>
  <si>
    <t>ssi-pred-k-calibrationchecked-4</t>
  </si>
  <si>
    <t>ssi-pred-k-transportchecked-5</t>
  </si>
  <si>
    <t>ssi-pred-k-notactionable-6</t>
  </si>
  <si>
    <t>ssi-ind-l-brandt-presymptomaticautoimmunity-1</t>
  </si>
  <si>
    <t>ssi-pred-l-intake-1</t>
  </si>
  <si>
    <t>ssi-pred-l-evidenceassessed-2</t>
  </si>
  <si>
    <t>ssi-pred-l-mechanismconfirmed-3</t>
  </si>
  <si>
    <t>ssi-pred-l-calibrationchecked-4</t>
  </si>
  <si>
    <t>ssi-pred-l-transportchecked-5</t>
  </si>
  <si>
    <t>ssi-pred-l-actionable-6</t>
  </si>
  <si>
    <t>MetaKey</t>
  </si>
  <si>
    <t>Value</t>
  </si>
  <si>
    <t>ValueType</t>
  </si>
  <si>
    <t>Source</t>
  </si>
  <si>
    <t>report.engine</t>
  </si>
  <si>
    <t>report-config</t>
  </si>
  <si>
    <t>python-fragment-renderer</t>
  </si>
  <si>
    <t>choice</t>
  </si>
  <si>
    <t>The diagnosis report is rendered by a thin Python renderer that concatenates already-derived, predicate-gated narrative fragment fields. Replaces the json-hbars-transform plan step. The renderer holds no narrative or business logic.</t>
  </si>
  <si>
    <t>design-decision-2026-06-19</t>
  </si>
  <si>
    <t>report.output-format</t>
  </si>
  <si>
    <t>markdown</t>
  </si>
  <si>
    <t>Report output format. markdown now -&gt; pdf (diagnosis.pdf) once all harness tests are green.</t>
  </si>
  <si>
    <t>report.fragment-join</t>
  </si>
  <si>
    <t>\n\n</t>
  </si>
  <si>
    <t>string</t>
  </si>
  <si>
    <t>Separator the renderer places between non-empty fragments when assembling a section (blank line = new paragraph).</t>
  </si>
  <si>
    <t>report.suppress-empty-fragments</t>
  </si>
  <si>
    <t>true</t>
  </si>
  <si>
    <t>boolean</t>
  </si>
  <si>
    <t>When a fragment's predicate is false it renders empty; the renderer drops empty fragments so irrelevant language never appears for that case.</t>
  </si>
  <si>
    <t>phrase.presented-with</t>
  </si>
  <si>
    <t>phrase</t>
  </si>
  <si>
    <t>The patient presented with</t>
  </si>
  <si>
    <t>Literal global opener reused across every case's presenting-facts fragment. Authored once here, never re-typed per case.</t>
  </si>
  <si>
    <t>clinical-convention</t>
  </si>
  <si>
    <t>phrase.therefore</t>
  </si>
  <si>
    <t>Therefore</t>
  </si>
  <si>
    <t>Connector that introduces the derived conclusion sentence in the keystone fragment.</t>
  </si>
  <si>
    <t>phrase.deciding-reason</t>
  </si>
  <si>
    <t>the single deciding reason was</t>
  </si>
  <si>
    <t>Reused phrase that names the one gate that decided the keystone, per ax-both-verdicts.</t>
  </si>
  <si>
    <t>phrase.no-finding</t>
  </si>
  <si>
    <t>No relevant finding was reported.</t>
  </si>
  <si>
    <t>Reused fallback sentence for a section whose predicates all suppressed (used only where a deliberate, named absence is wanted rather than silence).</t>
  </si>
  <si>
    <t>band.temperature.normal-low</t>
  </si>
  <si>
    <t>band-threshold</t>
  </si>
  <si>
    <t>98.5</t>
  </si>
  <si>
    <t>number</t>
  </si>
  <si>
    <t>Lower bound (degF, inclusive) of the 'normal temperature' band. Referenced by the patient's TemperatureNarrative fragment to decide which band's language applies for that case. Illustrative of the banding pattern; replace with the clinically agreed value.</t>
  </si>
  <si>
    <t>illustrative</t>
  </si>
  <si>
    <t>band.temperature.normal-high</t>
  </si>
  <si>
    <t>99.5</t>
  </si>
  <si>
    <t>Upper bound (degF, inclusive) of the 'normal temperature' band; above this and up to fever-high is a light fever.</t>
  </si>
  <si>
    <t>band.temperature.fever-high</t>
  </si>
  <si>
    <t>100.5</t>
  </si>
  <si>
    <t>Upper bound (degF) of the 'light fever' band; strictly above this is a 'severe fever'.</t>
  </si>
  <si>
    <t>band.temperature.text.normal</t>
  </si>
  <si>
    <t>band-vocabulary</t>
  </si>
  <si>
    <t>a normal temperature</t>
  </si>
  <si>
    <t>Language emitted when the patient's temperature falls in the normal band. The TemperatureNarrative fragment picks one of the three band phrases by comparing the row's own value against the band-threshold rows.</t>
  </si>
  <si>
    <t>band.temperature.text.light-fever</t>
  </si>
  <si>
    <t>a light fever</t>
  </si>
  <si>
    <t>Language emitted for the light-fever band (normal-high &lt; temp &lt;= fever-high).</t>
  </si>
  <si>
    <t>band.temperature.text.severe-fever</t>
  </si>
  <si>
    <t>a severe fever</t>
  </si>
  <si>
    <t>Language emitted for the severe-fever band (temp &gt; fever-high).</t>
  </si>
  <si>
    <t>report.coverage.require-every-patient-word</t>
  </si>
  <si>
    <t>parameter</t>
  </si>
  <si>
    <t>Total-coverage contract toggle: assert every meaningful patient token is traceable into a rendered fragment (tfs-report-covers-every-word).</t>
  </si>
  <si>
    <t>report.coverage.require-every-dag-node</t>
  </si>
  <si>
    <t>Total-coverage contract toggle: assert every DAG node linked to the patient down to ground truth contributes a fragment or a named suppression (tfs-report-covers-every-dag-node).</t>
  </si>
  <si>
    <t>cmcc_summary</t>
  </si>
  <si>
    <t>conversion_metadata</t>
  </si>
  <si>
    <t>object</t>
  </si>
  <si>
    <t>DiseaseDomainConceptId</t>
  </si>
  <si>
    <t>ConceptLabel</t>
  </si>
  <si>
    <t>RelatedDisease</t>
  </si>
  <si>
    <t>ModelingStatus</t>
  </si>
  <si>
    <t>ChallengeStressorType</t>
  </si>
  <si>
    <t>IsDeeplyModeled</t>
  </si>
  <si>
    <t>IsSchemaModeled</t>
  </si>
  <si>
    <t>lupus-nephritis</t>
  </si>
  <si>
    <t>Lupus Nephritis</t>
  </si>
  <si>
    <t>SLE</t>
  </si>
  <si>
    <t>deep-dag</t>
  </si>
  <si>
    <t>Renal involvement of SLE; immune-complex glomerulonephritis. v2 models its PROGRESSION as a witnessed state machine driven by rising anti-dsDNA + falling complement + proteinuria.</t>
  </si>
  <si>
    <t>disease-progression / organ-specific subtype</t>
  </si>
  <si>
    <t>treatment-line-selection</t>
  </si>
  <si>
    <t>Treatment-Line Selection</t>
  </si>
  <si>
    <t>Which therapy to choose given the patient's causal mechanism + disease state: mycophenolate (MMF) vs belimumab vs anifrolumab. v2 derives a recommended line + single deciding reason.</t>
  </si>
  <si>
    <t>treatment response / patient stratification</t>
  </si>
  <si>
    <t>neuropsychiatric-lupus</t>
  </si>
  <si>
    <t>Neuropsychiatric Lupus (NPSLE)</t>
  </si>
  <si>
    <t>schema</t>
  </si>
  <si>
    <t>CNS/PNS manifestations of SLE (seizure, psychosis, cognitive). Modeled as a phenotype subtype carrying a SeverityScore and organ-domain tag.</t>
  </si>
  <si>
    <t>tissue-specific / cell-state-specific effects</t>
  </si>
  <si>
    <t>cutaneous-lupus</t>
  </si>
  <si>
    <t>Cutaneous Lupus</t>
  </si>
  <si>
    <t>Skin-limited or skin-predominant lupus (acute/subacute/chronic discoid). Phenotype subtype with organ-domain = skin.</t>
  </si>
  <si>
    <t>tissue-specific effects</t>
  </si>
  <si>
    <t>organ-damage-slicc</t>
  </si>
  <si>
    <t>Organ Damage (SLICC/ACR Damage Index)</t>
  </si>
  <si>
    <t>Irreversible accumulated damage, SLICC-style. Modeled as a monotonic damage-accrual score distinct from reversible disease activity.</t>
  </si>
  <si>
    <t>disease progression / feedback between progression and molecular state</t>
  </si>
  <si>
    <t>seropositive-ra</t>
  </si>
  <si>
    <t>Seropositive RA (ACPA/RF+)</t>
  </si>
  <si>
    <t>RA</t>
  </si>
  <si>
    <t>RF/anti-CCP-positive RA; stronger HLA shared-epitope + PTPN22 association, more erosive. Phenotype subtype with a serostatus tag.</t>
  </si>
  <si>
    <t>coding/HLA variants; ancestry-specific risk alleles</t>
  </si>
  <si>
    <t>seronegative-ra</t>
  </si>
  <si>
    <t>Seronegative RA (ACPA/RF-)</t>
  </si>
  <si>
    <t>Autoantibody-negative RA; distinct genetic architecture and trajectory. Phenotype subtype.</t>
  </si>
  <si>
    <t>heterogeneity within one disease</t>
  </si>
  <si>
    <t>erosive-disease</t>
  </si>
  <si>
    <t>Erosive Disease</t>
  </si>
  <si>
    <t>Radiographic bone erosion; a structural-damage progression axis for RA, distinct from disease activity.</t>
  </si>
  <si>
    <t>disease progression / organ damage</t>
  </si>
  <si>
    <t>axial-psa</t>
  </si>
  <si>
    <t>Axial Psoriatic Arthritis</t>
  </si>
  <si>
    <t>PsA</t>
  </si>
  <si>
    <t>Spinal/sacroiliac involvement of PsA. Phenotype subtype with axial domain tag.</t>
  </si>
  <si>
    <t>enthesitis</t>
  </si>
  <si>
    <t>Enthesitis</t>
  </si>
  <si>
    <t>Inflammation at tendon/ligament insertions; hallmark of PsA/SpA. Phenotype subtype.</t>
  </si>
  <si>
    <t>dactylitis</t>
  </si>
  <si>
    <t>Dactylitis</t>
  </si>
  <si>
    <t>'Sausage digit' — whole-digit swelling. PsA phenotype subtype.</t>
  </si>
  <si>
    <t>uveitis</t>
  </si>
  <si>
    <t>Uveitis</t>
  </si>
  <si>
    <t>Inflammatory eye disease overlapping spondyloarthritis. Phenotype subtype / extra-articular domain.</t>
  </si>
  <si>
    <t>pleiotropy / shared mechanism across tissues</t>
  </si>
  <si>
    <t>ibd-overlap</t>
  </si>
  <si>
    <t>Inflammatory Bowel Disease Overlap</t>
  </si>
  <si>
    <t>Gut inflammation overlapping spondyloarthritis (IL-23/IL-17 axis shared). Phenotype subtype representing cross-disease pleiotropy.</t>
  </si>
  <si>
    <t>pleiotropy / gene-environment-microbiome interaction</t>
  </si>
  <si>
    <t>flare-pattern</t>
  </si>
  <si>
    <t>Flare Pattern</t>
  </si>
  <si>
    <t>*</t>
  </si>
  <si>
    <t>Episodic relapse of disease activity. v2 models flare-risk as a derived state on the progression machine, driven by serology trajectory.</t>
  </si>
  <si>
    <t>feedback between disease progression and molecular state</t>
  </si>
  <si>
    <t>disease-activity-score</t>
  </si>
  <si>
    <t>Disease-Activity Score (SLEDAI / DAS28)</t>
  </si>
  <si>
    <t>Composite activity indices (SLEDAI-2K for SLE, DAS28 for RA). v2 DERIVES an activity tier from raw component observations rather than hand-entering it.</t>
  </si>
  <si>
    <t>calibrated severity / disease stage</t>
  </si>
  <si>
    <t>treatment-line</t>
  </si>
  <si>
    <t>Treatment Line</t>
  </si>
  <si>
    <t>First-line / second-line / advanced-therapy sequencing. Modeled as an ordinal on therapies feeding treatment-line selection.</t>
  </si>
  <si>
    <t>treatment histories / treatment-induced changes</t>
  </si>
  <si>
    <t>adverse-event-surveillance</t>
  </si>
  <si>
    <t>Adverse-Event Surveillance</t>
  </si>
  <si>
    <t>vocabulary</t>
  </si>
  <si>
    <t>Monitoring for therapy harms. Present as a concept/stressor type; the keystone already carries HasAdverseEffect at the leaf. Deep AE modeling is out-of-scope for the POC.</t>
  </si>
  <si>
    <t>adverse effects</t>
  </si>
  <si>
    <t>workflow-referral</t>
  </si>
  <si>
    <t>Workflow: Referral</t>
  </si>
  <si>
    <t>Entry into specialist care. Represented as the initial state of the clinical-workflow machine.</t>
  </si>
  <si>
    <t>clinical workflow</t>
  </si>
  <si>
    <t>workflow-differential</t>
  </si>
  <si>
    <t>Workflow: Differential Diagnosis</t>
  </si>
  <si>
    <t>Weighing competing diagnoses. Workflow state.</t>
  </si>
  <si>
    <t>workflow-workup</t>
  </si>
  <si>
    <t>Workflow: Workup</t>
  </si>
  <si>
    <t>Ordering the labs/imaging that BECOME the raw leaves. Workflow state.</t>
  </si>
  <si>
    <t>workflow-classification</t>
  </si>
  <si>
    <t>Workflow: Classification</t>
  </si>
  <si>
    <t>Applying classification criteria (e.g. EULAR/ACR). Workflow state.</t>
  </si>
  <si>
    <t>workflow-baseline-severity</t>
  </si>
  <si>
    <t>Workflow: Baseline Severity Assessment</t>
  </si>
  <si>
    <t>Establishing baseline activity/damage. Workflow state; consumes the derived activity score.</t>
  </si>
  <si>
    <t>clinical workflow / baseline severity</t>
  </si>
  <si>
    <t>workflow-treatment-choice</t>
  </si>
  <si>
    <t>Workflow: Treatment Choice</t>
  </si>
  <si>
    <t>Selecting therapy; consumes the treatment-line-selection DAG. Workflow state.</t>
  </si>
  <si>
    <t>clinical workflow / treatment</t>
  </si>
  <si>
    <t>workflow-monitoring</t>
  </si>
  <si>
    <t>Workflow: Monitoring</t>
  </si>
  <si>
    <t>Longitudinal follow-up; produces the serology trajectory leaves. Workflow state.</t>
  </si>
  <si>
    <t>clinical workflow / monitoring</t>
  </si>
  <si>
    <t>workflow-flare-management</t>
  </si>
  <si>
    <t>Workflow: Flare Management</t>
  </si>
  <si>
    <t>Responding to a flare. Workflow state tied to the flare-risk progression state.</t>
  </si>
  <si>
    <t>clinical workflow / flare</t>
  </si>
  <si>
    <t>workflow-outcomes</t>
  </si>
  <si>
    <t>Workflow: Long-Term Outcomes</t>
  </si>
  <si>
    <t>Damage accrual, remission, outcomes over time. Workflow terminal state.</t>
  </si>
  <si>
    <t>clinical workflow / outcomes</t>
  </si>
  <si>
    <t>SerologyObservationId</t>
  </si>
  <si>
    <t>ObservedAt</t>
  </si>
  <si>
    <t>AntiDsDnaIU</t>
  </si>
  <si>
    <t>ComplementC3</t>
  </si>
  <si>
    <t>ComplementC4</t>
  </si>
  <si>
    <t>ProteinuriaGPerDay</t>
  </si>
  <si>
    <t>EgfrMlMin</t>
  </si>
  <si>
    <t>HasActiveUrinarySediment</t>
  </si>
  <si>
    <t>PriorObservation</t>
  </si>
  <si>
    <t>PriorAntiDsDnaIU</t>
  </si>
  <si>
    <t>PriorC3</t>
  </si>
  <si>
    <t>PriorC4</t>
  </si>
  <si>
    <t>AntiDsDnaTrend</t>
  </si>
  <si>
    <t>ComplementTrend</t>
  </si>
  <si>
    <t>IsPreNephriticSignaturePanel</t>
  </si>
  <si>
    <t>IsSignificantProteinuria</t>
  </si>
  <si>
    <t>IsNephroticRangeProteinuria</t>
  </si>
  <si>
    <t>SledaiRenalPoints</t>
  </si>
  <si>
    <t>SledaiSerologyPoints</t>
  </si>
  <si>
    <t>SledaiScore</t>
  </si>
  <si>
    <t>ProgressionStateKey</t>
  </si>
  <si>
    <t>ProgressionStateOrder</t>
  </si>
  <si>
    <t>sero-ind-a-reyes-1</t>
  </si>
  <si>
    <t>sero-ind-a-reyes-2</t>
  </si>
  <si>
    <t>sero-ind-b-okafor-1</t>
  </si>
  <si>
    <t>sero-ind-b-okafor-2</t>
  </si>
  <si>
    <t>sero-ind-c-chen-1</t>
  </si>
  <si>
    <t>sero-ind-c-chen-2</t>
  </si>
  <si>
    <t>sero-ind-d-santos-1</t>
  </si>
  <si>
    <t>sero-ind-d-santos-2</t>
  </si>
  <si>
    <t>sero-ind-d-santos-3</t>
  </si>
  <si>
    <t>sero-ind-e-mensah-1</t>
  </si>
  <si>
    <t>sero-ind-e-mensah-2</t>
  </si>
  <si>
    <t>sero-ind-f-haidar-1</t>
  </si>
  <si>
    <t>sero-ind-f-haidar-2</t>
  </si>
  <si>
    <t>sero-ind-g-lin-1</t>
  </si>
  <si>
    <t>sero-ind-g-lin-2</t>
  </si>
  <si>
    <t>sero-ind-h-yamamoto-1</t>
  </si>
  <si>
    <t>sero-ind-h-yamamoto-2</t>
  </si>
  <si>
    <t>sero-ind-i-conteh-1</t>
  </si>
  <si>
    <t>sero-ind-i-conteh-2</t>
  </si>
  <si>
    <t>sero-ind-j-brooks-1</t>
  </si>
  <si>
    <t>sero-ind-j-brooks-2</t>
  </si>
  <si>
    <t>sero-ind-k-nair-1</t>
  </si>
  <si>
    <t>sero-ind-k-nair-2</t>
  </si>
  <si>
    <t>sero-ind-l-brandt-1</t>
  </si>
  <si>
    <t>sero-ind-l-brandt-2</t>
  </si>
  <si>
    <t>TherapyOptionId</t>
  </si>
  <si>
    <t>TherapyLabel</t>
  </si>
  <si>
    <t>TargetsPathway</t>
  </si>
  <si>
    <t>LineOrdinal</t>
  </si>
  <si>
    <t>PreferredWhen</t>
  </si>
  <si>
    <t>mmf</t>
  </si>
  <si>
    <t>Mycophenolate (MMF)</t>
  </si>
  <si>
    <t>organ-induction</t>
  </si>
  <si>
    <t>active nephritis (proteinuria-driven)</t>
  </si>
  <si>
    <t>belimumab</t>
  </si>
  <si>
    <t>Belimumab (anti-BLyS)</t>
  </si>
  <si>
    <t>serologically active, autoantibody-driven</t>
  </si>
  <si>
    <t>anifrolumab</t>
  </si>
  <si>
    <t>type-I-IFN-signature mechanism</t>
  </si>
  <si>
    <t>secukinumab</t>
  </si>
  <si>
    <t>IL-17/23-axis disease (PsA/SpA)</t>
  </si>
  <si>
    <t xml:space="preserve">{
  "$schema": "https://example.com/cmcc-schema/v1",
  "Name": "Causal Autoimmune Architecture Platform",
  "Description": "Rulebook for inferring the complete causal architecture of heterogeneous autoimmune disease from multi-omic cohort data, producing falsifiable mechanisms and ancestry-equitable predictions with calibrated uncertainty.",
  "AutoimmuneDiseases": {
    "Description": "Target heterogeneous autoimmune disease definitions tracked across development, aging, tissues, and disease stages.",
    "schema": [
      {
        "name": "AutoimmuneDiseaseId",
        "datatype": "string",
        "type": "raw",
        "nullable": false,
        "Description": "Stable identifier for each autoimmune disease (e.g. sle, ra, t1d)."
      },
      {
        "name": "DiseaseLabel",
        "datatype": "string",
        "type": "raw",
        "nullable": false,
        "Description": "Human-readable disease name."
      },
      {
        "name": "IsComplexDisease",
        "datatype": "boolean",
        "type": "raw",
        "nullable": false,
        "Description": "True when the disease is a multifactorial complex disease beyond simple monogenic traits."
      },
      {
        "name": "Name",
        "datatype": "string",
        "type": "calculated",
        "nullable": true,
        "Description": "Display label for the autoimmune disease.",
        "formula": "={{DiseaseLabel}}"
      },
      {
        "name": "RelativePath",
        "datatype": "string",
        "type": "calculated",
        "nullable": true,
        "Description": "Canonical path to this AutoimmuneDisease page: /diseases/&lt;slug-or-id&gt;.",
        "formula": "=\"/diseases/\" &amp; {{AutoimmuneDiseaseId}}"
      },
      {
        "name": "CountOfDiseaseStages",
        "datatype": "integer",
        "type": "aggregation",
        "nullable": true,
        "Description": "Number of disease stages defined for this autoimmune disease.",
        "formula": "=COUNTIFS(DiseaseStages!{{AutoimmuneDisease}}, {{AutoimmuneDiseaseId}})"
      },
      {
        "name": "CountOfInterventionTargets",
        "datatype": "integer",
        "type": "aggregation",
        "nullable": true,
        "Description": "Count of validated intervention targets linked to this disease.",
        "formula": "=COUNTIFS(InterventionTargets!{{AutoimmuneDisease}}, {{AutoimmuneDiseaseId}})"
      },
      {
        "name": "DiseaseStages",
        "datatype": "string",
        "type": "relationship",
        "nullable": true,
        "Description": "Disease stages for this autoimmune disease.",
        "RelatedTo": "DiseaseStages"
      },
      {
        "name": "Treatments",
        "datatype": "string",
        "type": "relationship",
        "nullable": true,
        "Description": "Treatment histories for this disease.",
        "RelatedTo": "Treatments"
      },
      {
        "name": "ClinicalPhenotypes",
        "datatype": "string",
        "type": "relationship",
        "nullable": true,
        "Description": "Clinical phenotypes observed for this disease.",
        "RelatedTo": "ClinicalPhenotypes"
      },
      {
        "name": "IndividualPredictions",
        "datatype": "string",
        "type": "relationship",
        "nullable": true,
        "Description": "Predictions of disease onset, severity, and treatment response.",
        "RelatedTo": "IndividualPredictions"
      },
      {
        "name": "CounterfactualTrajectories",
        "datatype": "string",
        "type": "relationship",
        "nullable": true,
        "Description": "Counterfactual disease trajectories for this disease.",
        "RelatedTo": "CounterfactualTrajectories"
      },
      {
        "name": "InterventionTargets",
        "datatype": "string",
        "type": "relationship",
        "nullable": true,
        "Description": "Experimentally falsifiable intervention targets.",
        "RelatedTo": "InterventionTargets"
      }
    ],
    "data": [
      {
        "AutoimmuneDiseaseId": "sle",
        "DiseaseLabel": "Systemic Lupus Erythematosus",
        "IsComplexDisease": true,
        "Name": "Systemic Lupus Erythematosus",
        "RelativePath": "/diseases/sle",
        "CountOfDiseaseStages": 3,
        "CountOfInterventionTargets": 7,
        "DiseaseStages": null,
        "Treatments": null,
        "ClinicalPhenotypes": null,
        "IndividualPredictions": null,
        "CounterfactualTrajectories": null,
        "InterventionTargets": null
      },
      {
        "AutoimmuneDiseaseId": "ra",
        "DiseaseLabel": "Rheumatoid Arthritis",
        "IsComplexDisease": true,
        "Name": "Rheumatoid Arthritis",
        "RelativePath": "/diseases/ra",
        "CountOfDiseaseStages": 2,
        "CountOfInterventionTargets": 0,
        "DiseaseStages": null,
        "Treatments": null,
        "ClinicalPhenotypes": null,
        "IndividualPredictions": null,
        "CounterfactualTrajectories": null,
        "InterventionTargets": null
      },
      {
        "AutoimmuneDiseaseId": "psa",
        "DiseaseLabel": "Psoriatic Arthritis",
        "IsComplexDisease": true,
        "Name": "Psoriatic Arthritis",
        "RelativePath": "/diseases/psa",
        "CountOfDiseaseStages": 1,
        "CountOfInterventionTargets": 4,
        "DiseaseStages": null,
        "Treatments": null,
        "ClinicalPhenotypes": null,
        "IndividualPredictions": null,
        "CounterfactualTrajectories": null,
        "InterventionTargets": null
      }
    ]
  },
  "DiseaseStages": {
    "Description": "Ordered disease stages capturing presymptomatic, active, remission, and treatment-refractory phases along disease progression.",
    "schema": [
      {
        "name": "DiseaseStageId",
        "datatype": "string",
        "type": "raw",
        "nullable": false,
        "Description": "Stable identifier for each disease stage."
      },
      {
        "name": "StageLabel",
        "datatype": "string",
        "type": "raw",
        "nullable": false,
        "Description": "Human-readable stage label (e.g. presymptomatic, active)."
      },
      {
        "name": "SortOrder",
        "datatype": "integer",
        "type": "raw",
        "nullable": false,
        "Description": "Numeric ordering of stages along disease progression."
      },
      {
        "name": "AutoimmuneDisease",
        "datatype": "string",
        "type": "raw",
        "nullable": false,
        "Description": "Parent autoimmune disease."
      },
      {
        "name": "Name",
        "datatype": "string",
        "type": "calculated",
        "nullable": true,
        "Description": "Display label combining disease and stage.",
        "formula": "={{AutoimmuneDiseaseDiseaseLabel}} &amp; \" — \" &amp; {{StageLabel}}"
      },
      {
        "name": "ParentPath",
        "datatype": "string",
        "type": "lookup",
        "nullable": true,
        "Description": "Lookup: AutoimmuneDiseases.RelativePath via AutoimmuneDisease — used to chain this entity's path under its parent.",
        "RelatedTo": "AutoimmuneDiseases",
        "LookupField": "RelativePath",
        "ViaField": "AutoimmuneDisease",
        "formula": "=INDEX(AutoimmuneDiseases!{{RelativePath}}, MATCH({{AutoimmuneDisease}}, AutoimmuneDiseases!{{AutoimmuneDiseaseId}}, 0))"
      },
      {
        "name": "RelativePath",
        "datatype": "string",
        "type": "calculated",
        "nullable": true,
        "Description": "Path to this DiseaseStage page, chained under its AutoimmuneDisease parent.",
        "formula": "={{ParentPath}} &amp; \"/stages/\" &amp; {{DiseaseStageId}}"
      },
      {
        "name": "AutoimmuneDiseaseDiseaseLabel",
        "datatype": "string",
        "type": "calculated",
        "nullable": true,
        "Description": "Lookup of parent disease label.",
        "formula": "=INDEX(AutoimmuneDiseases!{{DiseaseLabel}}, MATCH({{AutoimmuneDisease}}, AutoimmuneDiseases!{{AutoimmuneDiseaseId}}, 0))"
      },
      {
        "name": "IsPresymptomatic",
        "datatype": "boolean",
        "type": "calculated",
        "nullable": true,
        "Description": "True when stage is presymptomatic diagnosis window.",
        "formula": "=IF({{StageLabel}} = \"Presymptomatic\", TRUE(), FALSE())"
      }
    ],
    "data": [
      {
        "DiseaseStageId": "sle-presymptomatic",
        "StageLabel": "Presymptomatic",
        "SortOrder": 1,
        "AutoimmuneDisease": "sle",
        "Name": "Systemic Lupus Erythematosus — Presymptomatic",
        "ParentPath": "/diseases/sle",
        "RelativePath": "/diseases/sle/stages/sle-presymptomatic",
        "AutoimmuneDiseaseDiseaseLabel": "Systemic Lupus Erythematosus",
        "IsPresymptomatic": true
      },
      {
        "DiseaseStageId": "sle-active",
        "StageLabel": "Active",
        "SortOrder": 2,
        "AutoimmuneDisease": "sle",
        "Name": "Systemic Lupus Erythematosus — Active",
        "ParentPath": "/diseases/sle",
        "RelativePath": "/diseases/sle/stages/sle-active",
        "AutoimmuneDiseaseDiseaseLabel": "Systemic Lupus Erythematosus",
        "IsPresymptomatic": false
      },
      {
        "DiseaseStageId": "sle-remission",
        "StageLabel": "Remission",
        "SortOrder": 3,
        "AutoimmuneDisease": "sle",
        "Name": "Systemic Lupus Erythematosus — Remission",
        "ParentPath": "/diseases/sle",
        "RelativePath": "/diseases/sle/stages/sle-remission",
        "AutoimmuneDiseaseDiseaseLabel": "Systemic Lupus Erythematosus",
        "IsPresymptomatic": false
      },
      {
        "DiseaseStageId": "ra-active",
        "StageLabel": "Active",
        "SortOrder": 1,
        "AutoimmuneDisease": "ra",
        "Name": "Rheumatoid Arthritis — Active",
        "ParentPath": "/diseases/ra",
        "RelativePath": "/diseases/ra/stages/ra-active",
        "AutoimmuneDiseaseDiseaseLabel": "Rheumatoid Arthritis",
        "IsPresymptomatic": false
      },
      {
        "DiseaseStageId": "ra-remission",
        "StageLabel": "Remission",
        "SortOrder": 2,
        "AutoimmuneDisease": "ra",
        "Name": "Rheumatoid Arthritis — Remission",
        "ParentPath": "/diseases/ra",
        "RelativePath": "/diseases/ra/stages/ra-remission",
        "AutoimmuneDiseaseDiseaseLabel": "Rheumatoid Arthritis",
        "IsPresymptomatic": false
      },
      {
        "DiseaseStageId": "psa-active",
        "StageLabel": "Active",
        "SortOrder": 1,
        "AutoimmuneDisease": "psa",
        "Name": "Psoriatic Arthritis — Active",
        "ParentPath": "/diseases/psa",
        "RelativePath": "/diseases/psa/stages/psa-active",
        "AutoimmuneDiseaseDiseaseLabel": "Psoriatic Arthritis",
        "IsPresymptomatic": false
      }
    ]
  },
  "Tissues": {
    "Description": "Anatomical tissues where omics assays resolve cell-state-specific effects; includes cases of missing tissues.",
    "schema": [
      {
        "name": "TissueId",
        "datatype": "string",
        "type": "raw",
        "nullable": false,
        "Description": "Stable identifier for each tissue type."
      },
      {
        "name": "TissueLabel",
        "datatype": "string",
        "type": "raw",
        "nullable": false,
        "Description": "Human-readable tissue name (blood, gut, synovium, skin, brain)."
      },
      {
        "name": "Name",
        "datatype": "string",
        "type": "calculated",
        "nullable": true,
        "Description": "Display label for the tissue.",
        "formula": "={{TissueLabel}}"
      },
      {
        "name": "RelativePath",
        "datatype": "string",
        "type": "calculated",
        "nullable": true,
        "Description": "Canonical path to this Tissue page: /tissues/&lt;slug-or-id&gt;.",
        "formula": "=\"/tissues/\" &amp; {{TissueId}}"
      },
      {
        "name": "CountOfOmicsAssays",
        "datatype": "integer",
        "type": "aggregation",
        "nullable": true,
        "Description": "Number of omics assays performed on this tissue.",
        "formula": "=COUNTIFS(OmicsAssays!{{Tissue}}, {{TissueId}})"
      },
      {
        "name": "OmicsAssays",
        "datatype": "string",
        "type": "relationship",
        "nullable": true,
        "Description": "Omics assays performed on this tissue.",
        "RelatedTo": "OmicsAssays"
      }
    ],
    "data": [
      {
        "TissueId": "blood",
        "TissueLabel": "Blood",
        "Name": "Blood",
        "RelativePath": "/tissues/blood",
        "CountOfOmicsAssays": 36,
        "OmicsAssays": null
      },
      {
        "TissueId": "gut",
        "TissueLabel": "Gut",
        "Name": "Gut",
        "RelativePath": "/tissues/gut",
        "CountOfOmicsAssays": 0,
        "OmicsAssays": null
      },
      {
        "TissueId": "synovium",
        "TissueLabel": "Synovium",
        "Name": "Synovium",
        "RelativePath": "/tissues/synovium",
        "CountOfOmicsAssays": 0,
        "OmicsAssays": null
      },
      {
        "TissueId": "skin",
        "TissueLabel": "Skin",
        "Name": "Skin",
        "RelativePath": "/tissues/skin",
        "CountOfOmicsAssays": 0,
        "OmicsAssays": null
      },
      {
        "TissueId": "kidney",
        "TissueLabel": "Kidney",
        "Name": "Kidney",
        "RelativePath": "/tissues/kidney",
        "CountOfOmicsAssays": 0,
        "OmicsAssays": null
      }
    ]
  },
  "OmicsModalities": {
    "Description": "Registry of omics assay modalities: RNA-seq, ATAC-seq, proteomics, metabolomics, methylomes, chromatin-conformation, immune-receptor repertoires, microbiomes, and long-read genomes.",
    "schema": [
      {
        "name": "OmicsModalityId",
        "datatype": "string",
        "type": "raw",
        "nullable": false,
        "Description": "Stable identifier for each omics modality."
      },
      {
        "name": "ModalityLabel",
        "datatype": "string",
        "type": "raw",
        "nullable": false,
        "Description": "Human-readable modality name."
      },
      {
        "name": "IsSingleCell",
        "datatype": "boolean",
        "type": "raw",
        "nullable": false,
        "Description": "True for single-cell or spatial assays resolving cellular states."
      },
      {
        "name": "Name",
        "datatype": "string",
        "type": "calculated",
        "nullable": true,
        "Description": "Display label for the omics modality.",
        "formula": "={{ModalityLabel}}"
      },
      {
        "name": "RelativePath",
        "datatype": "string",
        "type": "calculated",
        "nullable": true,
        "Description": "Canonical path to this OmicsModalitie page: /omics-modalities/&lt;slug-or-id&gt;.",
        "formula": "=\"/omics-modalities/\" &amp; {{OmicsModalityId}}"
      },
      {
        "name": "CountOfOmicsAssays",
        "datatype": "integer",
        "type": "aggregation",
        "nullable": true,
        "Description": "Count of assays using this modality.",
        "formula": "=COUNTIFS(OmicsAssays!{{OmicsModality}}, {{OmicsModalityId}})"
      },
      {
        "name": "OmicsAssays",
        "datatype": "string",
        "type": "relationship",
        "nullable": true,
        "Description": "Assays of this modality.",
        "RelatedTo": "OmicsAssays"
      }
    ],
    "data": [
      {
        "OmicsModalityId": "long-read-genomes",
        "ModalityLabel": "Phased Telomere-to-Telomere Long-Read Genomes",
        "IsSingleCell": false,
        "Name": "Phased Telomere-to-Telomere Long-Read Genomes",
        "RelativePath": "/omics-modalities/long-read-genomes",
        "CountOfOmicsAssays": 0,
        "OmicsAssays": null
      },
      {
        "OmicsModalityId": "rna-seq",
        "ModalityLabel": "RNA-seq",
        "IsSingleCell": false,
        "Name": "RNA-seq",
        "RelativePath": "/omics-modalities/rna-seq",
        "CountOfOmicsAssays": 12,
        "OmicsAssays": null
      },
      {
        "OmicsModalityId": "single-cell-rna",
        "ModalityLabel": "Single-Cell RNA-seq",
        "IsSingleCell": true,
        "Name": "Single-Cell RNA-seq",
        "RelativePath": "/omics-modalities/single-cell-rna",
        "CountOfOmicsAssays": 0,
        "OmicsAssays": null
      },
      {
        "OmicsModalityId": "atac-seq",
        "ModalityLabel": "ATAC-seq",
        "IsSingleCell": false,
        "Name": "ATAC-seq",
        "RelativePath": "/omics-modalities/atac-seq",
        "CountOfOmicsAssays": 12,
        "OmicsAssays": null
      },
      {
        "OmicsModalityId": "proteomics",
        "ModalityLabel": "Proteomics",
        "IsSingleCell": false,
        "Name": "Proteomics",
        "RelativePath": "/omics-modalities/proteomics",
        "CountOfOmicsAssays": 12,
        "OmicsAssays": null
      },
      {
        "OmicsModalityId": "microbiome",
        "ModalityLabel": "Microbiome",
        "IsSingleCell": false,
        "Name": "Microbiome",
        "RelativePath": "/omics-modalities/microbiome",
        "CountOfOmicsAssays": 0,
        "OmicsAssays": null
      },
      {
        "OmicsModalityId": "methylome",
        "ModalityLabel": "Methylome (sparse context)",
        "IsSingleCell": false,
        "Name": "Methylome (sparse context)",
        "RelativePath": "/omics-modalities/methylome",
        "CountOfOmicsAssays": 0,
        "OmicsAssays": null
      },
      {
        "OmicsModalityId": "hi-c",
        "ModalityLabel": "Chromatin Conformation Hi-C (sparse context)",
        "IsSingleCell": false,
        "Name": "Chromatin Conformation Hi-C (sparse context)",
        "RelativePath": "/omics-modalities/hi-c",
        "CountOfOmicsAssays": 0,
        "OmicsAssays": null
      }
    ]
  },
  "FederatedDatasets": {
    "Description": "Privacy-preserving federated datasets contributing cohort partitions without centralizing raw genomes.",
    "schema": [
      {
        "name": "FederatedDatasetId",
        "datatype": "string",
        "type": "raw",
        "nullable": false,
        "Description": "Stable identifier for each federated data node."
      },
      {
        "name": "NodeLabel",
        "datatype": "string",
        "type": "raw",
        "nullable": false,
        "Description": "Human-readable federated node name."
      },
      {
        "name": "Region",
        "datatype": "string",
        "type": "raw",
        "nullable": false,
        "Description": "Geographic region; shifting environments may alter exposure profiles."
      },
      {
        "name": "IsPrivacyPreserving",
        "datatype": "boolean",
        "type": "raw",
        "nullable": false,
        "Description": "True when node uses privacy-preserving federated learning."
      },
      {
        "name": "Name",
        "datatype": "string",
        "type": "calculated",
        "nullable": true,
        "Description": "Display label for the federated dataset.",
        "formula": "={{NodeLabel}}"
      },
      {
        "name": "RelativePath",
        "datatype": "string",
        "type": "calculated",
        "nullable": true,
        "Description": "Canonical path to this FederatedDataset page: /datasets/&lt;slug-or-id&gt;.",
        "formula": "=\"/datasets/\" &amp; {{FederatedDatasetId}}"
      },
      {
        "name": "CountOfIndividuals",
        "datatype": "integer",
        "type": "aggregation",
        "nullable": true,
        "Description": "Individuals enrolled via this federated node.",
        "formula": "=COUNTIFS(Individuals!{{FederatedDataset}}, {{FederatedDatasetId}})"
      },
      {
        "name": "Individuals",
        "datatype": "string",
        "type": "relationship",
        "nullable": true,
        "Description": "Individuals linked to this federated dataset.",
        "RelatedTo": "Individuals"
      },
      {
        "name": "OmicsAssays",
        "datatype": "string",
        "type": "relationship",
        "nullable": true,
        "Description": "Omics assays sourced from this node.",
        "RelatedTo": "OmicsAssays"
      },
      {
        "name": "CohortReplications",
        "datatype": "string",
        "type": "relationship",
        "nullable": true,
        "Description": "Replications run in this cohort node.",
        "RelatedTo": "CohortReplications"
      }
    ],
    "data": [
      {
        "FederatedDatasetId": "fed-europe",
        "NodeLabel": "European Reference Node",
        "Region": "Europe",
        "IsPrivacyPreserving": true,
        "Name": "European Reference Node",
        "RelativePath": "/datasets/fed-europe",
        "CountOfIndividuals": 4,
        "Individuals": null,
        "OmicsAssays": null,
        "CohortReplications": null
      },
      {
        "FederatedDatasetId": "fed-east-asia",
        "NodeLabel": "East Asia Federated Node",
        "Region": "East Asia",
        "IsPrivacyPreserving": true,
        "Name": "East Asia Federated Node",
        "RelativePath": "/datasets/fed-east-asia",
        "CountOfIndividuals": 1,
        "Individuals": null,
        "OmicsAssays": null,
        "CohortReplications": null
      },
      {
        "FederatedDatasetId": "fed-west-africa",
        "NodeLabel": "West Africa Federated Node",
        "Region": "West Africa",
        "IsPrivacyPreserving": true,
        "Name": "West Africa Federated Node",
        "RelativePath": "/datasets/fed-west-africa",
        "CountOfIndividuals": 1,
        "Individuals": null,
        "OmicsAssays": null,
        "CohortReplications": null
      },
      {
        "FederatedDatasetId": "fed-amazon",
        "NodeLabel": "Amazon Indigenous Cohort",
        "Region": "Amazon Basin",
        "IsPrivacyPreserving": true,
        "Name": "Amazon Indigenous Cohort",
        "RelativePath": "/datasets/fed-amazon",
        "CountOfIndividuals": 4,
        "Individuals": null,
        "OmicsAssays": null,
        "CohortReplications": null
      }
    ]
  },
  "VariantTypes": {
    "Description": "Classification of genomic variant mechanisms: regulatory, coding, repeat expansions, mobile-element insertions, HLA haplotypes, structural variants, de novo mutations, somatic mosaicism, mitochondrial variation.",
    "schema": [
      {
        "name": "VariantTypeId",
        "datatype": "string",
        "type": "raw",
        "nullable": false,
        "Description": "Stable identifier for each variant type."
      },
      {
        "name": "TypeLabel",
        "datatype": "string",
        "type": "raw",
        "nullable": false,
        "Description": "Human-readable variant mechanism label."
      },
      {
        "name": "IsRareVariantClass",
        "datatype": "boolean",
        "type": "raw",
        "nullable": false,
        "Description": "True when this type contributes to rare-variant burden scoring."
      },
      {
        "name": "Name",
        "datatype": "string",
        "type": "calculated",
        "nullable": true,
        "Description": "Display label for variant type.",
        "formula": "={{TypeLabel}}"
      },
      {
        "name": "RelativePath",
        "datatype": "string",
        "type": "calculated",
        "nullable": true,
        "Description": "Canonical path to this VariantType page: /variant-types/&lt;slug-or-id&gt;.",
        "formula": "=\"/variant-types/\" &amp; {{VariantTypeId}}"
      },
      {
        "name": "CountOfGenomicVariants",
        "datatype": "integer",
        "type": "aggregation",
        "nullable": true,
        "Description": "Variants classified under this type.",
        "formula": "=COUNTIFS(GenomicVariants!{{VariantType}}, {{VariantTypeId}})"
      },
      {
        "name": "GenomicVariants",
        "datatype": "string",
        "type": "relationship",
        "nullable": true,
        "Description": "Genomic variants of this type.",
        "RelatedTo": "GenomicVariants"
      }
    ],
    "data": [
      {
        "VariantTypeId": "regulatory",
        "TypeLabel": "Regulatory Variant",
        "IsRareVariantClass": true,
        "Name": "Regulatory Variant",
        "RelativePath": "/variant-types/regulatory",
        "CountOfGenomicVariants": 12,
        "GenomicVariants": null
      },
      {
        "VariantTypeId": "coding",
        "TypeLabel": "Coding Variant",
        "IsRareVariantClass": false,
        "Name": "Coding Variant",
        "RelativePath": "/variant-types/coding",
        "CountOfGenomicVariants": 0,
        "GenomicVariants": null
      },
      {
        "VariantTypeId": "hla-haplotype",
        "TypeLabel": "HLA Haplotype",
        "IsRareVariantClass": false,
        "Name": "HLA Haplotype",
        "RelativePath": "/variant-types/hla-haplotype",
        "CountOfGenomicVariants": 0,
        "GenomicVariants": null
      },
      {
        "VariantTypeId": "structural",
        "TypeLabel": "Structural Variant",
        "IsRareVariantClass": true,
        "Name": "Structural Variant",
        "RelativePath": "/variant-types/structural",
        "CountOfGenomicVariants": 0,
        "GenomicVariants": null
      },
      {
        "VariantTypeId": "de-novo",
        "TypeLabel": "De Novo Mutation",
        "IsRareVariantClass": true,
        "Name": "De Novo Mutation",
        "RelativePath": "/variant-types/de-novo",
        "CountOfGenomicVariants": 0,
        "GenomicVariants": null
      }
    ]
  },
  "Individuals": {
    "Description": "Ancestrally diverse cohort participants whose phased genomes, omics profiles, exposures, and clinical phenotypes feed causal architecture inference.",
    "schema": [
      {
        "name": "IndividualId",
        "datatype": "string",
        "type": "raw",
        "nullable": false,
        "Description": "Stable identifier for each individual in the million-person cohort."
      },
      {
        "name": "GivenName",
        "datatype": "string",
        "type": "raw",
        "nullable": false,
        "Description": "Participant given name (de-identified mock)."
      },
      {
        "name": "FamilyName",
        "datatype": "string",
        "type": "raw",
        "nullable": false,
        "Description": "Participant family name (de-identified mock)."
      },
      {
        "name": "AncestryLabel",
        "datatype": "string",
        "type": "raw",
        "nullable": false,
        "Description": "Ancestry label for population stratification and ancestry-equitable risk prediction."
      },
      {
        "name": "AgeYears",
        "datatype": "integer",
        "type": "raw",
        "nullable": false,
        "Description": "Age in years spanning development and aging windows."
      },
      {
        "name": "IsAncestryAbsentFromTraining",
        "datatype": "boolean",
        "type": "raw",
        "nullable": false,
        "Description": "True when individual ancestry was absent from primary training data."
      },
      {
        "name": "FederatedDataset",
        "datatype": "string",
        "type": "raw",
        "nullable": true,
        "Description": "Federated dataset node when enrolled via privacy-preserving federation."
      },
      {
        "name": "EnrollmentDate",
        "datatype": "datetime",
        "type": "raw",
        "nullable": true,
        "Description": "Longitudinal cohort enrollment date."
      },
      {
        "name": "HasCrypticRelatednessFlag",
        "datatype": "boolean",
        "type": "raw",
        "nullable": false,
        "Description": "True when cryptic relatedness or assortative mating bias detected."
      },
      {
        "name": "Name",
        "datatype": "string",
        "type": "calculated",
        "nullable": true,
        "Description": "Display name for the individual.",
        "formula": "={{GivenName}} &amp; \" \" &amp; {{FamilyName}}"
      },
      {
        "name": "Slug",
        "datatype": "string",
        "type": "calculated",
        "nullable": true,
        "Description": "URL slug for this case, family-given kebab (e.g. reyes-ana). Used in RelativePath.",
        "formula": "=SUBSTITUTE(LOWER({{FamilyName}} &amp; \"-\" &amp; {{GivenName}}), \" \", \"-\")"
      },
      {
        "name": "RelativePath",
        "datatype": "string",
        "type": "calculated",
        "nullable": true,
        "Description": "Canonical path to this Individual page: /intake/new-patient/&lt;slug-or-id&gt;.",
        "formula": "=\"/intake/new-patient/\" &amp; {{Slug}}"
      },
      {
        "name": "FederatedDatasetNodeLabel",
        "datatype": "string",
        "type": "calculated",
        "nullable": true,
        "Description": "Lookup of federated node label.",
        "formula": "=IF({{FederatedDataset}} = \"\", \"\", INDEX(FederatedDatasets!{{NodeLabel}}, MATCH({{FederatedDataset}}, FederatedDatasets!{{FederatedDatasetId}}, 0)))"
      },
      {
        "name": "CountOfGenomicVariants",
        "datatype": "integer",
        "type": "aggregation",
        "nullable": true,
        "Description": "Total genomic variants for rare-variant burden assessment.",
        "formula": "=COUNTIFS(GenomicVariants!{{Individual}}, {{IndividualId}})"
      },
      {
        "name": "CountOfCausalMechanisms",
        "datatype": "integer",
        "type": "aggregation",
        "nullable": true,
        "Description": "Inferred causal mechanisms linked to this individual.",
        "formula": "=COUNTIFS(CausalMechanisms!{{Individual}}, {{IndividualId}})"
      },
      {
        "name": "CountOfEpistaticInteractions",
        "datatype": "integer",
        "type": "aggregation",
        "nullable": true,
        "Description": "Higher-order epistasis interactions involving this individual.",
        "formula": "=COUNTIFS(EpistaticInteractions!{{Individual}}, {{IndividualId}})"
      },
      {
        "name": "RareVariantBurdenScore",
        "datatype": "number",
        "type": "calculated",
        "nullable": true,
        "Description": "2nd-order score from rare variant count normalized by age.",
        "formula": "=IF({{AgeYears}} &gt; 0, {{CountOfGenomicVariants}} / {{AgeYears}}, 0)"
      },
      {
        "name": "CausalArchitectureScore",
        "datatype": "number",
        "type": "calculated",
        "nullable": true,
        "Description": "3rd-order composite of causal mechanisms and epistasis density.",
        "formula": "={{CountOfCausalMechanisms}} * 10 + {{CountOfEpistaticInteractions}} * 5 + {{RareVariantBurdenScore}}"
      },
      {
        "name": "IsDevelopmentWindow",
        "datatype": "boolean",
        "type": "calculated",
        "nullable": true,
        "Description": "True when age falls in developmental effects window (0-25).",
        "formula": "=IF({{AgeYears}} &lt;= 25, TRUE(), FALSE())"
      },
      {
        "name": "IsAgingWindow",
        "datatype": "boolean",
        "type": "calculated",
        "nullable": true,
        "Description": "True when age falls in aging window (60+).",
        "formula": "=IF({{AgeYears}} &gt;= 60, TRUE(), FALSE())"
      },
      {
        "name": "CountConfirmedCausalNodes",
        "datatype": "integer",
        "type": "aggregation",
        "nullable": true,
        "Description": "Count of this individual's confirmed causal-architecture nodes.",
        "formula": "=COUNTIFS(CausalMechanisms!{{Individual}}, {{IndividualId}}, CausalMechanisms!{{IsCausalArchitectureNode}}, TRUE())"
      },
      {
        "name": "SumConfirmedCausalConfidence",
        "datatype": "number",
        "type": "aggregation",
        "nullable": true,
        "Description": "Summed confidence of this individual's confirmed causal nodes (derived causal mass).",
        "formula": "=SUMIFS(CausalMechanisms!{{CausalConfidence}}, CausalMechanisms!{{Individual}}, {{IndividualId}}, CausalMechanisms!{{IsCausalArchitectureNode}}, TRUE())"
      },
      {
        "name": "CountCrossAncestryConfirmedNodes",
        "datatype": "integer",
        "type": "aggregation",
        "nullable": true,
        "Description": "Confirmed nodes that also showed cross-ancestry replication.",
        "formula": "=COUNTIFS(CausalMechanisms!{{Individual}}, {{IndividualId}}, CausalMechanisms!{{IsAncestryTransportable}}, TRUE())"
      },
      {
        "name": "MaxSeverityScore",
        "datatype": "number",
        "type": "aggregation",
        "nullable": true,
        "Description": "Highest SeverityScore across this individual's clinical phenotypes (0 if none).",
        "formula": "=MAXIFS(ClinicalPhenotypes!{{SeverityScore}}, ClinicalPhenotypes!{{Individual}}, {{IndividualId}})"
      },
      {
        "name": "CountHighSeverityPhenotypes",
        "datatype": "integer",
        "type": "aggregation",
        "nullable": true,
        "Description": "Count of this individual's high-severity phenotypes (SeverityScore &gt; 7).",
        "formula": "=COUNTIFS(ClinicalPhenotypes!{{Individual}</t>
  </si>
  <si>
    <t xml:space="preserve">}, {{IndividualId}}, ClinicalPhenotypes!{{IsHighSeverity}}, TRUE())"
      },
      {
        "name": "HasHighSeverityPhenotype",
        "datatype": "boolean",
        "type": "calculated",
        "nullable": true,
        "Description": "True when the individual has at least one high-severity phenotype.",
        "formula": "=IF({{CountHighSeverityPhenotypes}} &gt;= 1, TRUE(), FALSE())"
      },
      {
        "name": "CountPredictedTreatmentResponses",
        "datatype": "integer",
        "type": "aggregation",
        "nullable": true,
        "Description": "Count of this individual's treatments predicted to respond (effective ∧ mechanism-matched).",
        "formula": "=COUNTIFS(Treatments!{{Individual}}, {{IndividualId}}, Treatments!{{IsTreatmentResponsePredicted}}, TRUE())"
      },
      {
        "name": "HasPredictedTreatmentResponse",
        "datatype": "boolean",
        "type": "calculated",
        "nullable": true,
        "Description": "True when the individual has at least one treatment predicted to respond.",
        "formula": "=IF({{CountPredictedTreatmentResponses}} &gt;= 1, TRUE(), FALSE())"
      },
      {
        "name": "GenomicVariants",
        "datatype": "string",
        "type": "relationship",
        "nullable": true,
        "Description": "Genomic variants for this individual.",
        "RelatedTo": "GenomicVariants"
      },
      {
        "name": "OmicsAssays",
        "datatype": "string",
        "type": "relationship",
        "nullable": true,
        "Description": "Omics assays for this individual.",
        "RelatedTo": "OmicsAssays"
      },
      {
        "name": "EnvironmentalExposures",
        "datatype": "string",
        "type": "relationship",
        "nullable": true,
        "Description": "Longitudinal environmental exposures.",
        "RelatedTo": "EnvironmentalExposures"
      },
      {
        "name": "Treatments",
        "datatype": "string",
        "type": "relationship",
        "nullable": true,
        "Description": "Treatment histories.",
        "RelatedTo": "Treatments"
      },
      {
        "name": "ClinicalPhenotypes",
        "datatype": "string",
        "type": "relationship",
        "nullable": true,
        "Description": "Clinical phenotypes.",
        "RelatedTo": "ClinicalPhenotypes"
      },
      {
        "name": "CausalMechanisms",
        "datatype": "string",
        "type": "relationship",
        "nullable": true,
        "Description": "Inferred causal mechanisms.",
        "RelatedTo": "CausalMechanisms"
      },
      {
        "name": "EpistaticInteractions",
        "datatype": "string",
        "type": "relationship",
        "nullable": true,
        "Description": "Epistatic interactions.",
        "RelatedTo": "EpistaticInteractions"
      },
      {
        "name": "CounterfactualTrajectories",
        "datatype": "string",
        "type": "relationship",
        "nullable": true,
        "Description": "Counterfactual trajectories.",
        "RelatedTo": "CounterfactualTrajectories"
      },
      {
        "name": "IndividualPredictions",
        "datatype": "string",
        "type": "relationship",
        "nullable": true,
        "Description": "Individual predictions.",
        "RelatedTo": "IndividualPredictions"
      },
      {
        "name": "CaseNarrative",
        "datatype": "string",
        "type": "raw",
        "nullable": true,
        "Description": "PANEL 1 of the witness (raw leaf, read by nothing downstream): the natural-language intake case the LLM was handed. Every raw observation below is extracted from THIS text; each leaf's SourceQuote points back into it so the extraction is human-checkable independently of the verdict. Synthetic but transparent — invented case, literature-aligned loci/thresholds."
      },
      {
        "name": "CountSerologyPanels",
        "datatype": "number",
        "type": "aggregation",
        "nullable": true,
        "Description": "Number of serology panels for this individual.",
        "formula": "=COUNTIFS(SerologyObservations!{{Individual}}, {{IndividualId}})"
      },
      {
        "name": "CountPreNephriticSignaturePanels",
        "datatype": "number",
        "type": "aggregation",
        "nullable": true,
        "Description": "How many of this individual's panels exhibit the pre-nephritic serology signature (rising anti-dsDNA + falling complement before overt nephritis). The corpus-level roll-up of the per-panel signal; emergent from the raw series.",
        "formula": "=COUNTIFS(SerologyObservations!{{Individual}}, {{IndividualId}}, SerologyObservations!{{IsPreNephriticSignaturePanel}}, TRUE())"
      },
      {
        "name": "IsInPreNephriticSignatureCluster",
        "datatype": "boolean",
        "type": "calculated",
        "nullable": true,
        "Description": "DERIVED cluster membership: TRUE when this individual's own raw serology series ever showed the pre-nephritic signature. The discovery 'this serology signature precedes nephritis' becomes a reproducible, witnessed corpus-level cluster — not a label anyone assigned.",
        "formula": "=IF({{CountPreNephriticSignaturePanels}}&gt;=1,TRUE(),FALSE())"
      },
      {
        "name": "SignatureStrength",
        "datatype": "number",
        "type": "calculated",
        "nullable": true,
        "Description": "DERIVED 0/1/2 strength of the pre-nephritic signature: 2 when it appears on &gt;=2 panels (persistent), 1 on exactly one panel, 0 when absent. Drives the emphasis of cluster members on the cohort scatter.",
        "formula": "=IF({{CountPreNephriticSignaturePanels}}&gt;=2,2,IF({{CountPreNephriticSignaturePanels}}&gt;=1,1,0))"
      },
      {
        "name": "MaxProgressionStateOrder",
        "datatype": "number",
        "type": "aggregation",
        "nullable": true,
        "Description": "Highest progression-state order reached across this individual's serology panels (worst/current state).",
        "formula": "=MAXIFS(SerologyObservations!{{ProgressionStateOrder}}, SerologyObservations!{{Individual}}, {{IndividualId}})"
      },
      {
        "name": "LatestSledaiScore",
        "datatype": "number",
        "type": "aggregation",
        "nullable": true,
        "Description": "Peak SLEDAI activity score across this individual's panels (derived).",
        "formula": "=MAXIFS(SerologyObservations!{{SledaiScore}}, SerologyObservations!{{Individual}}, {{IndividualId}})"
      },
      {
        "name": "NephritisProgressionStateKey",
        "datatype": "string",
        "type": "calculated",
        "nullable": true,
        "Description": "DERIVED current disease state for the lupus-nephritis-progression machine: decoded from the highest state order reached. The subject- state column of the state machine; never hand-set.",
        "formula": "=IF({{MaxProgressionStateOrder}}&gt;=5,\"BiopsyIndicated\",IF({{MaxProgressionStateOrder}}&gt;=4,\"RenalFlareRisk\",IF({{MaxProgressionStateOrder}}&gt;=3,\"EarlyNephritis\",IF({{MaxProgressionStateOrder}}&gt;=2,\"SerologicActive\",\"PresymptomaticAutoimmunity\"))))"
      },
      {
        "name": "ActivityTier",
        "datatype": "string",
        "type": "calculated",
        "nullable": true,
        "Description": "Derived disease-activity tier from peak SLEDAI score.",
        "formula": "=IF({{LatestSledaiScore}}&gt;=12,\"High / flare\",IF({{LatestSledaiScore}}&gt;=6,\"Moderate\",IF({{LatestSledaiScore}}&gt;=1,\"Mild\",\"Quiescent\")))"
      },
      {
        "name": "IsHighDiseaseActivity",
        "datatype": "boolean",
        "type": "calculated",
        "nullable": true,
        "Description": "TRUE when peak SLEDAI &gt;= 12.",
        "formula": "=IF({{LatestSledaiScore}}&gt;=12,TRUE(),FALSE())"
      },
      {
        "name": "IsDiseaseProgressing",
        "datatype": "boolean",
        "type": "calculated",
        "nullable": true,
        "Description": "TRUE when the disease-state simulator places the patient in an active/worsening renal state (independent of the actionability gate).",
        "formula": "=IF(OR({{NephritisProgressionStateKey}}=\"EarlyNephritis\",{{NephritisProgressionStateKey}}=\"RenalFlareRisk\",{{NephritisProgressionStateKey}}=\"BiopsyIndicated\"),TRUE(),FALSE())"
      },
      {
        "name": "TargetPathwayCode",
        "datatype": "number",
        "type": "aggregation",
        "nullable": true,
        "Description": "Resolved pathway code from this individual's causal mechanism (MAXIFS).",
        "formula": "=MAXIFS(CausalMechanisms!{{TargetPathwayCode}}, CausalMechanisms!{{Individual}}, {{IndividualId}})"
      },
      {
        "name": "TargetPathway",
        "datatype": "string",
        "type": "calculated",
        "nullable": true,
        "Description": "Decoded druggable pathway implicated by this individual's mechanism.",
        "formula": "=IF({{TargetPathwayCode}}=1,\"type-I-IFN\",IF({{TargetPathwayCode}}=2,\"B-cell/autoantibody\",IF({{TargetPathwayCode}}=3,\"T-cell-costim\",IF({{TargetPathwayCode}}=4,\"IL-17/23\",\"\"))))"
      },
      {
        "name": "CurrentProgressionStateId",
        "datatype": "string",
        "type": "calculated",
        "nullable": true,
        "Description": "This individual's current lupus-progression state as a MachineStates id (closure-view key form): the lupus-nephritis-progression machine prefix + the lowercased NephritisProgressionStateKey. Pure projection of the derived current state; used to look up closure-derived prognostics.",
        "formula": "=\"lupus-nephritis-progression--\" &amp; LOWER({{NephritisProgressionStateKey}})"
      },
      {
        "name": "ReachableStatesAhead",
        "datatype": "integer",
        "type": "lookup",
        "nullable": true,
        "important": true,
        "Description": "How many disease states are still reachable ahead of THIS patient from their current state, via the transition closure (looks up MachineStates.ReachableStateCount for CurrentProgressionStateId). A closure-derived prognostic horizon: Diego at BiopsyIndicated has 0 ahead (terminal); a Presymptomatic patient has 5. NOT derivable from the severity rank alone (the count is non-monotonic in rank because the machine branches into remission).",
        "formula": "=INDEX(MachineStates!{{ReachableStateCount}}, MATCH({{CurrentProgressionStateId}}, MachineStates!{{MachineStateId}}, 0))"
      }
    ],
    "data": [
      {
        "IndividualId": "ind-a-reyes",
        "GivenName": "Ana",
        "FamilyName": "Reyes",
        "AncestryLabel": "European",
        "AgeYears": 34,
        "IsAncestryAbsentFromTraining": false,
        "FederatedDataset": "fed-europe",
        "EnrollmentDate": "2023-04-10",
        "HasCrypticRelatednessFlag": false,
        "Name": "Ana Reyes",
        "Slug": "reyes-ana",
        "RelativePath": "/intake/new-patient/reyes-ana",
        "FederatedDatasetNodeLabel": "European Reference Node",
        "CountOfGenomicVariants": 1,
        "CountOfCausalMechanisms": 1,
        "CountOfEpistaticInteractions": 1,
        "RareVariantBurdenScore": 0.029411764705882353,
        "CausalArchitectureScore": 15.029411764705882,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"Ana Reyes, a 34-year-old woman of European ancestry (cohort is in the training set), presents with photosensitive malar rash, arthralgia, and a positive ANA, raising concern for SLE onset. Family history is notable for lupus in a maternal aunt. Genotyping finds the IRF5 regulatory variant rs2004640 at an allele frequency of 0.006 (rare), and allele-specific expression is present at the locus. Functional workup of the IRF5 -&gt; type-I interferon -&gt; SLE-risk edge returns a cis-eQTL in blood RNA-seq with effect 0.91 (SE 0.20), a caQTL in blood ATAC-seq with effect 0.73 (SE 0.19), and a pQTL in blood proteomics with effect 0.66 (SE 0.20) — three assays across two omics modalities, all ancestry-PC and batch adjusted. The edge replicates with a positive effect sign in an East Asian cohort (p=0.004) and in an African cohort (p=0.013), while a European replication is directionally consistent but not significant (p=0.18). Two ancestry-permutation negative controls collapse to the null (permutation effect 0.012 and 0.028, well inside the +/-0.1 null band). The IL-interferon target is druggable (anifrolumab, anti-IFNAR1), giving a perturbable intervention target. For SLE-onset risk, the model's reliability bins each carry coverage of 29-34 held-out individuals, with observed event rates tracking predicted bands closely (e.g. 0.09 observed at the 0.1 band, 0.88 at the 0.9 band). No cryptic-relatedness or assortative-mating leakage was flagged.",
        "MaxSeverityScore": 9,
        "CountHighSeverityPhenotypes": 1,
        "HasHighSeverityPhenotype": true,
        "CountPredictedTreatmentResponses": 1,
        "HasPredictedTreatmentResponse": true,
        "CountSerologyPanels": 2,
        "MaxProgressionStateOrder": 2,
        "LatestSledaiScore": 4,
        "NephritisProgressionStateKey": "SerologicActive",
        "ActivityTier": "Mild",
        "IsHighDiseaseActivity": false,
        "IsDiseaseProgressing": false,
        "TargetPathwayCode": 1,
        "TargetPathway": "type-I-IFN",
        "CountPreNephriticSignaturePanels": 1,
        "IsInPreNephriticSignatureCluster": true,
        "SignatureStrength": 1,
        "CurrentProgressionStateId": "lupus-nephritis-progression--serologicactive",
        "ReachableStatesAhead": 4
      },
      {
        "IndividualId": "ind-b-okafor",
        "GivenName": "Bili",
        "FamilyName": "Okafor",
        "AncestryLabel": "European",
        "AgeYears": 41,
        "IsAncestryAbsentFromTraining": false,
        "FederatedDataset": "fed-europe",
        "EnrollmentDate": "2023-05-12",
        "HasCrypticRelatednessFlag": false,
        "Name": "Bili Okafor",
        "Slug": "okafor-bili",
        "RelativePath": "/intake/new-patient/okafor-bili",
        "FederatedDatasetNodeLabel": "European Reference Node",
        "CountOfGenomicVariants": 1,
        "CountOfCausalMechanisms": 1,
        "CountOfEpistaticInteractions": 0,
        "RareVariantBurdenScore": 0.024390243902439025,
        "CausalArchitectureScore": 10.024390243902438,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"Bili Okafor, a 41-year-old man of European ancestry (in the training set), presents with serositis, fatigue, and a high-titre ANA suggestive of SLE onset. Genotyping finds the IRF5 regulatory variant rs2004640 at an allele frequency of 0.006 (rare), with allele-specific expression present. The IRF5 -&gt; type-I interferon -&gt; SLE-risk edge is supported by a cis-eQTL in blood RNA-seq with effect 0.84 (SE 0.21), a caQTL in blood ATAC-seq with effect 0.79 (SE 0.20), and a pQTL in blood proteomics with effect 0.58 (SE 0.20), spanning two omics modalities and adjusted for ancestry PCs and batch. It replicates positive in an East Asian cohort (p=0.006) and an African cohort (p=0.017), with a non-significant European replication (p=0.22). Two ancestry-permutation controls collapse to the null (permutation effect 0.015 and 0.024 inside +/-0.1). The interferon target is druggable. The mechanism is as solid as Ana's — but the calibration substrate is thin: this site only accrued coverage of 7-14 held-out individuals per reliability bin, far below the 20-count floor needed to trust the predicted-vs-observed match. No cryptic-relatedness leakage was flagged.",
        "MaxSeverityScore": 8,
        "CountHighSeverityPhenotypes": 1,
        "HasHighSeverityPhenotype": true,
        "CountPredictedTreatmentResponses": 1,
        "HasPredictedTreatmentResponse": true,
        "CountSerologyPanels": 2,
        "MaxProgressionStateOrder": 1,
        "LatestSledaiScore": 0,
        "NephritisProgressionStateKey": "PresymptomaticAutoimmunity",
        "ActivityTier": "Quiescent",
        "IsHighDiseaseActivity": false,
        "IsDiseaseProgressing": false,
        "TargetPathwayCode": 1,
        "TargetPathway": "type-I-IFN",
        "CountPreNephriticSignaturePanels": 0,
        "IsInPreNephriticSignatureCluster": false,
        "SignatureStrength": 0,
        "CurrentProgressionStateId": "lupus-nephritis-progression--presymptomaticautoimmunity",
        "ReachableStatesAhead": 5
      },
      {
        "IndividualId": "ind-c-chen",
        "GivenName": "Chen",
        "FamilyName": "Wei",
        "AncestryLabel": "East Asian",
        "AgeYears": 47,
        "IsAncestryAbsentFromTraining": false,
        "FederatedDataset": "fed-east-asia",
        "EnrollmentDate": "2022-09-01",
        "HasCrypticRelatednessFlag": false,
        "Name": "Chen Wei",
        "Slug": "wei-chen",
        "RelativePath": "/intake/new-patient/wei-chen",
        "FederatedDatasetNodeLabel": "East Asia Federated Node",
        "CountOfGenomicVariants": 1,
        "CountOfCausalMechanisms": 1,
        "CountOfEpistaticInteractions": 0,
        "RareVariantBurdenScore": 0.02127659574468085,
        "CausalArchitectureScore": 10.02127659574468,
        "IsDevelopmentWindow": false,
        "IsAgingWindow": false,
        "CountConfirmedCausalNodes": 0,
        "SumConfirmedCausalConfidence": 0,
        "CountCrossAncestryConfirmedNodes": 0,
        "GenomicVariants": null,
        "OmicsAssays": null,
        "EnvironmentalExposures": null,
        "Treatments": null,
        "ClinicalPhenotypes": null,
        "CausalMechanisms": null,
        "EpistaticInteractions": null,
        "CounterfactualTrajectories": null,
        "IndividualPredictions": null,
        "CaseNarrative": "Chen Wei, a 47-year-old woman of East Asian ancestry (in the training set), presents with arthritis, oral ulcers, and anti-dsDNA positivity concerning for SLE onset. Genotyping finds the STAT4 regulatory variant rs7574865 at an allele frequency of 0.008 (rare), with allele-specific expression present. The STAT4 -&gt; Th1/IFN -&gt; SLE-risk edge shows a cis-eQTL in blood RNA-seq with effect 1.02 (SE 0.23), a caQTL in blood ATAC-seq with effect 0.61 (SE 0.20), and a pQTL in blood proteomics with effect 0.55 (SE 0.21), across two modalities, ancestry-PC and batch adjusted. Replication is troubling: the effect is positive in an East Asian cohort (p=0.009) but the SIGN FLIPS to negative in an African cohort (p=0.024), and the European replication is non-significant (p=0.27) — only one concordant cohort. Worse, while one ancestry-permutation control collapses (permutation effect 0.013), a second negative control does NOT collapse: its permutation effect is 0.46, far outside the +/-0.1 null band, so the signal is not separable from permuted noise. Reliability bins carry coverage of 28-32 per bin. No cryptic-relatedness leakage was flagged.",
        "MaxSeverityScore": 9,
        "CountHighSeverityPhenotypes": 1,
        "HasHighSeverityPhenotype": true,
        "CountPredictedTreatmentResponses": 0,
        "HasPredictedTreatmentResponse": false,
        "CountSerologyPanels": 2,
        "MaxProgressionStateOrder": 2,
        "LatestSledaiScore": 4,
        "NephritisProgressionStateKey": "SerologicActive",
        "ActivityTier": "Mild",
        "IsHighDiseaseActivity": false,
        "IsDiseaseProgressing": false,
        "TargetPathwayCode": 2,
        "TargetPathway": "B-cell/autoantibody",
        "CountPreNephriticSignaturePanels": 1,
        "IsInPreNephriticSignatureCluster": true,
        "SignatureStrength": 1,
        "CurrentProgressionStateId": "lupus-nephritis-progression--serologicactive",
        "ReachableStatesAhead": 4
      },
      {
        "IndividualId": "ind-d-santos",
        "GivenName": "Diego",
        "FamilyName": "Santos",
        "AncestryLabel": "European",
        "AgeYears": 29,
        "IsAncestryAbsentFromTraining": false,
        "FederatedDataset": "fed-europe",
        "EnrollmentDate": "2024-01-20",
        "HasCrypticRelatednessFlag": true,
        "Name": "Diego Santos",
        "Slug": "santos-diego",
        "RelativePath": "/intake/new-patient/santos-diego",
        "FederatedDatasetNodeLabel": "European Reference Node",
        "CountOfGenomicVariants": 1,
        "CountOfCausalMechanisms": 1,
        "CountOfEpistaticInteractions": 0,
        "RareVariantBurdenScore": 0.034482758620689655,
        "CausalArchitectureScore": 10.03448275862069,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"Diego Santos, a 29-year-old man of European ancestry (in the training set), presents with nephritis and a malar rash concerning for SLE onset. Genotyping finds the IRF5 regulatory variant rs2004640 at an allele frequency of 0.006 (rare), with allele-specific expression present. The IRF5 -&gt; type-I interferon -&gt; SLE-risk edge is fully supported: a cis-eQTL in blood RNA-seq with effect 0.88 (SE 0.20), a caQTL in blood ATAC-seq with effect 0.95 (SE 0.21), and a pQTL in blood proteomics with effect 0.62 (SE 0.20), across two modalities and adjusted for ancestry PCs and batch. It replicates positive in an East Asian cohort (p=0.003) and an African cohort (p=0.019), with a non-significant European replication (p=0.16). Two ancestry-permutation controls collapse to the null (permutation effect 0.009 and 0.031 inside +/-0.1). The interferon target is druggable, and reliability bins carry coverage of 30-36 per bin. However, sample QC raised a cryptic-relatedness / assortative-mating flag for this participant: kinship estimates indicate undeclared relatives inside the cohort, so the prediction may be confounded by leakage rather than the mechanism alone.",
        "MaxSeverityScore": 8,
        "CountHighSeverityPhenotypes": 1,
        "HasHighSeverityPhenotype": true,
        "CountPredictedTreatmentResponses": 0,
        "HasPredictedTreatmentResponse": false,
        "CountSerologyPanels": 3,
        "MaxProgressionStateOrder": 5,
        "LatestSledaiScore": 12,
        "NephritisProgressionStateKey": "BiopsyIndicated",
        "ActivityTier": "High / flare",
        "IsHighDiseaseActivity": true,
        "IsDiseaseProgressing": true,
        "TargetPathwayCode": 2,
        "TargetPathway": "B-cell/autoantibody",
        "CountPreNephriticSignaturePanels": 2,
        "IsInPreNephriticSignatureCluster": true,
        "SignatureStrength": 2,
        "CurrentProgressionStateId": "lupus-nephritis-progression--biopsyindicated",
        "ReachableStatesAhead": 0
      },
      {
        "IndividualId": "ind-e-mensah",
        "GivenName": "Esi",
        "FamilyName": "Mensah",
        "AncestryLabel": "African",
        "AgeYears": 38,
        "IsAncestryAbsentFromTraining": false,
        "FederatedDataset": "fed-west-africa",
        "EnrollmentDate": "2023-07-15",
        "HasCrypticRelatednessFlag": false,
        "Name": "Esi Mensah",
        "Slug": "mensah-esi",
        "RelativePath": "/intake/new-patient/mensah-esi",
        "FederatedDatasetNodeLabel": "West Africa Federated Node",
        "CountOfGenomicVariants": 1,
        "CountOfCausalMechanisms": 1,
        "CountOfEpistaticInteractions": 0,
        "RareVariantBurdenScore": 0.02631578947368421,
        "CausalArchitectureScore": 10.026315789473685,
        "IsDevelopmentWindow": false,
        "IsAgingWindow": false,
        "CountConfirmedCausalNodes": 0,
        "SumConfirmedCausalConfidence": 0,
        "CountCrossAncestryConfirmedNodes": 0,
        "GenomicVariants": null,
        "OmicsAssays": null,
        "EnvironmentalExposures": null,
        "Treatments": null,
        "ClinicalPhenotypes": null,
        "CausalMechanisms": null,
        "EpistaticInteractions": null,
        "CounterfactualTrajectories": null,
        "IndividualPredictions": null,
        "CaseNarrative": "Esi Mensah, a 38-year-old woman of African ancestry (in the training set), presents with arthralgia and cytopenias concerning for SLE onset. Genotyping finds the CTLA4 enhancer variant rs3087243 at an allele frequency of 0.007 (rare), with allele-specific expression present. The CTLA4 -&gt; T-cell costimulation -&gt; SLE-risk edge is well supported: a cis-eQTL in blood RNA-seq with effect 0.79 (SE 0.21), a caQTL in blood ATAC-seq with effect 0.71 (SE 0.20), and a pQTL in blood proteomics with effect 0.41 (SE 0.20), across two modalities, ancestry-PC and batch adjusted. It replicates positive in an East Asian cohort (p=0.007) and a European cohort (p=0.021), with a non-significant African replication (p=0.19). Two ancestry-permutation controls collapse to the null (permutation effect 0.011 and 0.026 inside +/-0.1), and reliability bins carry coverage of 27-33 per bin. The gap is experimental: no perturbable intervention target has been mapped for this edge — there is no agent or assay that could knock the costimulation node down to test it, so the mechanism is not experimentally falsifiable as stated.",
        "MaxSeverityScore": 3,
        "CountHighSeverityPhenotypes": 0,
        "HasHighSeverityPhenotype": false,
        "CountPredictedTreatmentResponses": 0,
        "HasPredictedTreatmentResponse": false,
        "CountSerologyPanels": 2,
        "MaxProgressionStateOrder": 1,
        "LatestSledaiScore": 0,
        "NephritisProgressionStateKey": "PresymptomaticAutoimmunity",
        "ActivityTier": "Quiescent",
        "IsHighDiseaseActivity": false,
        "IsDiseaseProgressing": false,
        "TargetPathwayCode": 3,
        "TargetPathway": "T-cell-costim",
        "CountPreNephriticSignaturePanels": 0,
        "IsInPreNephriticSignatureCluster": false,
        "SignatureStrength": 0,
        "CurrentProgressionStateId": "lupus-nephritis-progression--presymptomaticautoimmunity",
        "ReachableStatesAhead": 5
      },
      {
        "IndividualId": "ind-f-haidar",
        "GivenName": "Faisal",
        "FamilyName": "Haidar",
        "AncestryLabel": "Indigenous American",
        "AgeYears": 31,
        "IsAncestryAbsentFromTraining": true,
        "FederatedDataset": "fed-amazon",
        "EnrollmentDate": "2025-02-01",
        "HasCrypticRelatednessFlag": false,
        "Name": "Faisal Haidar",
        "Slug": "haidar-faisal",
        "RelativePath": "/intake/new-patient/haidar-faisal",
        "FederatedDatasetNodeLabel": "Amazon Indigenous Cohort",
        "CountOfGenomicVariants": 1,
        "CountOfCausalMechanisms": 1,
        "CountOfEpistaticInteractions": 0,
        "RareVariantBurdenScore": 0.03225806451612903,
        "CausalArchitectureScore": 10.03225806451613,
        "IsDevelopmentWindow": false,
        "IsAgingWindow": false,
        "CountConfirmedCausalNodes": 1,
        "SumConfirmedCausalConfidence": 0.8583333333333333,
        "CountCrossAncestryConfirmedNodes": 0,
        "GenomicVariants": null,
        "OmicsAssays": null,
        "EnvironmentalExposures": null,
        "Treatments": null,
        "ClinicalPhenotypes": null,
        "CausalMechanisms": null,
        "EpistaticInteractions": null,
        "CounterfactualTrajectories": null,
        "IndividualPredictions": null,
        "CaseNarrative": "Faisal Haidar, a 31-year-old man of Indigenous American ancestry — an ancestry deliberately HELD OUT of the training set — presents with dactylitis, enthesitis, and nail pitting concerning for psoriatic-arthritis (PsA) onset. Genotyping finds the IL23R regulatory variant rs11209026 at an allele frequency of 0.009 (rare), with allele-specific expression present. The IL23R -&gt; IL-17 axis -&gt; PsA-risk edge is well supported: a cis-eQTL in blood RNA-seq with effect 1.07 (SE 0.20), a caQTL in blood ATAC-seq with effect 0.83 (SE 0.21), and a pQTL in blood proteomics with effect 0.74 (SE 0.20), across two modalities and adjusted for ancestry PCs and batch. The IL-17 target is druggable (secukinumab). Two ancestry-permutation controls collapse to the null (permutation effect 0.008 and 0.022 inside +/-0.1), and reliability bins carry coverage of 30-35 per bin. But every replication of this edge was run in an Indigenous American cohort: p=0.005, p=0.015, and p=0.034, all positive, all in the SAME ancestry. There is no cohort in a DIFFERENT ancestry confirming the effect — so for a patient whose ancestry is absent from training, nothing demonstrates the mechanism transports. No cryptic-relatedness leakage was flagged.",
        "MaxSeverityScore": 2,
        "CountHighSeverityPhenotypes": 0,
        "HasHighSeverityPhenotype": false,
        "CountPredictedTreatmentResponses": 0,
        "HasPredictedTreatmentResponse": false,
        "CountSerologyPanels": 2,
        "MaxProgressionStateOrder": 1,
        "LatestSledaiScore": 0,
        "NephritisProgressionStateKey": "PresymptomaticAutoimmunity",
        "ActivityTier": "Quiescent",
        "IsHighDiseaseActivity": false,
        "IsDiseaseProgressing": false,
        "TargetPathwayCode": 4,
        "TargetPathway": "IL-17/23",
        "CountPreNephriticSignaturePanels": 0,
        "IsInPreNephriticSignatureCluster": false,
        "SignatureStrength": 0,
        "CurrentProgressionStateId": "lupus-nephritis-progression--presymptomaticautoimmunity",
        "ReachableStatesAhead": 5
      },
      {
        "IndividualId": "ind-g-lin",
        "GivenName": "Grace",
        "FamilyName": "Lin",
        "AncestryLabel": "Indigenous American",
        "AgeYears": 36,
        "IsAncestryAbsentFromTraining": true,
        "FederatedDataset": "fed-amazon",
        "EnrollmentDate": "2025-02-03",
        "HasCrypticRelatednessFlag": false,
        "Name": "Grace Lin",
        "Slug": "lin-grace",
        "RelativePath": "/intake/new-patient/lin-grace",
        "FederatedDatasetNodeLabel": "Amazon Indigenous Cohort",
        "CountOfGenomicVariants": 1,
        "CountOfCausalMechanisms": 1,
        "CountOfEpistaticInteractions": 0,
        "RareVariantBurdenScore": 0.027777777777777776,
        "CausalArchitectureScore": 10.027777777777779,
        "IsDevelopmentWindow": false,
        "IsAgingWindow": false,
        "CountConfirmedCausalNodes": 1,
        "SumConfirmedCausalConfidence": 0.8583333333333333,
        "CountCrossAncestryConfirmedNodes": 1,
        "GenomicVariants": null,
        "OmicsAssays": null,
        "EnvironmentalExposures": null,
        "Treatments": null,
        "ClinicalPhenotypes": null,
        "CausalMechanisms": null,
        "EpistaticInteractions": null,
        "CounterfactualTrajectories": null,
        "IndividualPredictions": null,
        "CaseNarrative": "Grace Lin, a 36-year-old woman of Indigenous American ancestry — again an ancestry HELD OUT of the training set — presents with plaque psoriasis and asymmetric oligoarthritis concerning for psoriatic-arthritis (PsA) onset. Genotyping finds the IL23R regulatory variant rs11209026 at an allele frequency of 0.009 (rare), with allele-specific expression present. The IL23R -&gt; IL-17 axis -&gt; PsA-risk edge is well supported: a cis-eQTL in blood RNA-seq with effect 0.96 (SE 0.20), a caQTL in blood ATAC-seq with effect 0.88 (SE 0.21), and a pQTL in blood proteomics with effect 0.69 (SE 0.20), across two modalities and adjusted for ancestry PCs and batch. The IL-17 target is druggable (secukinumab). Two ancestry-permutation controls collapse to the null (permutation effect 0.007 and 0.019 inside +/-0.1), and reliability bins carry coverage of 30-36 per bin. Crucially — and unlike Faisal — this edge</t>
  </si>
  <si>
    <t xml:space="preserve"> was MEASURED to replicate ACROSS ancestries: positive in a European cohort (p=0.004), positive in an East Asian cohort (p=0.012), and positive in an Indigenous American cohort (p=0.029). Because the mechanism demonstrably holds in ancestries other than the held-out one, the prediction transports. No cryptic-relatedness leakage was flagged.",
        "MaxSeverityScore": 6,
        "CountHighSeverityPhenotypes": 0,
        "HasHighSeverityPhenotype": false,
        "CountPredictedTreatmentResponses": 1,
        "HasPredictedTreatmentResponse": true,
        "CountSerologyPanels": 2,
        "MaxProgressionStateOrder": 1,
        "LatestSledaiScore": 0,
        "NephritisProgressionStateKey": "PresymptomaticAutoimmunity",
        "ActivityTier": "Quiescent",
        "IsHighDiseaseActivity": false,
        "IsDiseaseProgressing": false,
        "TargetPathwayCode": 4,
        "TargetPathway": "IL-17/23",
        "CountPreNephriticSignaturePanels": 0,
        "IsInPreNephriticSignatureCluster": false,
        "SignatureStrength": 0,
        "CurrentProgressionStateId": "lupus-nephritis-progression--presymptomaticautoimmunity",
        "ReachableStatesAhead": 5
      },
      {
        "IndividualId": "ind-h-yamamoto",
        "GivenName": "Hana",
        "FamilyName": "Yamamoto",
        "AncestryLabel": "East Asian",
        "AgeYears": 33,
        "IsAncestryAbsentFromTraining": false,
        "FederatedDataset": null,
        "EnrollmentDate": "2025-07-01",
        "HasCrypticRelatednessFlag": false,
        "Name": "Hana Yamamoto",
        "Slug": "yamamoto-hana",
        "RelativePath": "/intake/new-patient/yamamoto-hana",
        "FederatedDatasetNodeLabel": null,
        "CountOfGenomicVariants": 1,
        "CountOfCausalMechanisms": 1,
        "CountOfEpistaticInteractions": 0,
        "RareVariantBurdenScore": 0.030303030303030304,
        "CausalArchitectureScore": 10.030303030303031,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"33yo East Asian woman; rising anti-dsDNA with falling complement and new significant proteinuria (0.7 g/day) over one quarter — early lupus nephritis. Progression-demo case (no v1 keystone mechanism attached).",
        "MaxSeverityScore": 9,
        "CountHighSeverityPhenotypes": 1,
        "HasHighSeverityPhenotype": true,
        "CountPredictedTreatmentResponses": 1,
        "HasPredictedTreatmentResponse": true,
        "CreatedBy": "v2-step10",
        "CreatedAt": "2026-06-20T00:00:00Z",
        "ModifiedBy": "v2-step10",
        "ModifiedAt": "2026-06-20T00:00:00Z",
        "ModifiedByModel": "claude-opus-4-8",
        "CountSerologyPanels": 2,
        "MaxProgressionStateOrder": 3,
        "LatestSledaiScore": 8,
        "NephritisProgressionStateKey": "EarlyNephritis",
        "ActivityTier": "Moderate",
        "IsHighDiseaseActivity": false,
        "IsDiseaseProgressing": true,
        "TargetPathwayCode": 1,
        "TargetPathway": "type-I-IFN",
        "CountPreNephriticSignaturePanels": 1,
        "IsInPreNephriticSignatureCluster": true,
        "SignatureStrength": 1,
        "CurrentProgressionStateId": "lupus-nephritis-progression--earlynephritis",
        "ReachableStatesAhead": 2
      },
      {
        "IndividualId": "ind-i-conteh",
        "GivenName": "Ibrahim",
        "FamilyName": "Conteh",
        "AncestryLabel": "African",
        "AgeYears": 45,
        "IsAncestryAbsentFromTraining": false,
        "FederatedDataset": null,
        "EnrollmentDate": "2025-06-01",
        "HasCrypticRelatednessFlag": true,
        "Name": "Ibrahim Conteh",
        "Slug": "conteh-ibrahim",
        "RelativePath": "/intake/new-patient/conteh-ibrahim",
        "FederatedDatasetNodeLabel": null,
        "CountOfGenomicVariants": 1,
        "CountOfCausalMechanisms": 1,
        "CountOfEpistaticInteractions": 0,
        "RareVariantBurdenScore": 0.022222222222222223,
        "CausalArchitectureScore": 10.022222222222222,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"45yo African man; brisk serologic activity and proteinuria climbing to 1.5 g/day — at risk of renal flare. Progression-demo case (no v1 keystone mechanism attached).",
        "MaxSeverityScore": 8,
        "CountHighSeverityPhenotypes": 1,
        "HasHighSeverityPhenotype": true,
        "CountPredictedTreatmentResponses": 0,
        "HasPredictedTreatmentResponse": false,
        "CreatedBy": "v2-step10",
        "CreatedAt": "2026-06-20T00:00:00Z",
        "ModifiedBy": "v2-step10",
        "ModifiedAt": "2026-06-20T00:00:00Z",
        "ModifiedByModel": "claude-opus-4-8",
        "CountSerologyPanels": 2,
        "MaxProgressionStateOrder": 4,
        "LatestSledaiScore": 8,
        "NephritisProgressionStateKey": "RenalFlareRisk",
        "ActivityTier": "Moderate",
        "IsHighDiseaseActivity": false,
        "IsDiseaseProgressing": true,
        "TargetPathwayCode": 2,
        "TargetPathway": "B-cell/autoantibody",
        "CountPreNephriticSignaturePanels": 1,
        "IsInPreNephriticSignatureCluster": true,
        "SignatureStrength": 1,
        "CurrentProgressionStateId": "lupus-nephritis-progression--renalflarerisk",
        "ReachableStatesAhead": 1
      },
      {
        "IndividualId": "ind-j-brooks",
        "GivenName": "Jamal",
        "FamilyName": "Brooks",
        "AncestryLabel": "Hispanic/Latino",
        "AgeYears": 52,
        "IsAncestryAbsentFromTraining": false,
        "FederatedDataset": "fed-europe",
        "EnrollmentDate": "2023-05-12",
        "HasCrypticRelatednessFlag": false,
        "Name": "Jamal Brooks",
        "Slug": "brooks-jamal",
        "RelativePath": "/intake/new-patient/brooks-jamal",
        "FederatedDatasetNodeLabel": "European Reference Node",
        "CountOfGenomicVariants": 1,
        "CountOfCausalMechanisms": 1,
        "CountOfEpistaticInteractions": 0,
        "RareVariantBurdenScore": 0.019230769230769232,
        "CausalArchitectureScore": 10.01923076923077,
        "IsDevelopmentWindow": false,
        "IsAgingWindow": false,
        "CountConfirmedCausalNodes": 1,
        "SumConfirmedCausalConfidence": 0.7583333333333333,
        "CountCrossAncestryConfirmedNodes": 1,
        "GenomicVariants": null,
        "OmicsAssays": null,
        "EnvironmentalExposures": null,
        "Treatments": null,
        "ClinicalPhenotypes": null,
        "CausalMechanisms": null,
        "EpistaticInteractions": null,
        "CounterfactualTrajectories": null,
        "IndividualPredictions": null,
        "CaseNarrative": "52yo Hispanic/Latino man; the targeted mechanism is confirmed but the calibration bins are under-covered — uncertainty collapses, so NOT actionable on the calibration gate.",
        "MaxSeverityScore": 8,
        "CountHighSeverityPhenotypes": 1,
        "HasHighSeverityPhenotype": true,
        "CountPredictedTreatmentResponses": 1,
        "HasPredictedTreatmentResponse": true,
        "CreatedBy": "v2-step10",
        "CreatedAt": "2026-06-20T00:00:00Z",
        "ModifiedBy": "v2-step10",
        "ModifiedAt": "2026-06-20T00:00:00Z",
        "ModifiedByModel": "claude-opus-4-8",
        "CountSerologyPanels": 2,
        "MaxProgressionStateOrder": 2,
        "LatestSledaiScore": 4,
        "NephritisProgressionStateKey": "SerologicActive",
        "ActivityTier": "Mild",
        "IsHighDiseaseActivity": false,
        "IsDiseaseProgressing": false,
        "TargetPathwayCode": 1,
        "TargetPathway": "type-I-IFN",
        "CountPreNephriticSignaturePanels": 1,
        "IsInPreNephriticSignatureCluster": true,
        "SignatureStrength": 1,
        "CurrentProgressionStateId": "lupus-nephritis-progression--serologicactive",
        "ReachableStatesAhead": 4
      },
      {
        "IndividualId": "ind-k-nair",
        "GivenName": "Kavya",
        "FamilyName": "Nair",
        "AncestryLabel": "South Asian",
        "AgeYears": 39,
        "IsAncestryAbsentFromTraining": true,
        "FederatedDataset": "fed-amazon",
        "EnrollmentDate": "2025-02-01",
        "HasCrypticRelatednessFlag": false,
        "Name": "Kavya Nair",
        "Slug": "nair-kavya",
        "RelativePath": "/intake/new-patient/nair-kavya",
        "FederatedDatasetNodeLabel": "Amazon Indigenous Cohort",
        "CountOfGenomicVariants": 1,
        "CountOfCausalMechanisms": 1,
        "CountOfEpistaticInteractions": 0,
        "RareVariantBurdenScore": 0.02564102564102564,
        "CausalArchitectureScore": 10.025641025641026,
        "IsDevelopmentWindow": false,
        "IsAgingWindow": false,
        "CountConfirmedCausalNodes": 1,
        "SumConfirmedCausalConfidence": 0.8583333333333333,
        "CountCrossAncestryConfirmedNodes": 0,
        "GenomicVariants": null,
        "OmicsAssays": null,
        "EnvironmentalExposures": null,
        "Treatments": null,
        "ClinicalPhenotypes": null,
        "CausalMechanisms": null,
        "EpistaticInteractions": null,
        "CounterfactualTrajectories": null,
        "IndividualPredictions": null,
        "CaseNarrative": "39yo South Asian woman, ancestry absent from training; confirmed mechanism but all replications ran in one ancestry — fails ancestry transport, NOT actionable.",
        "MaxSeverityScore": 2,
        "CountHighSeverityPhenotypes": 0,
        "HasHighSeverityPhenotype": false,
        "CountPredictedTreatmentResponses": 0,
        "HasPredictedTreatmentResponse": false,
        "CreatedBy": "v2-step10",
        "CreatedAt": "2026-06-20T00:00:00Z",
        "ModifiedBy": "v2-step10",
        "ModifiedAt": "2026-06-20T00:00:00Z",
        "ModifiedByModel": "claude-opus-4-8",
        "CountSerologyPanels": 2,
        "MaxProgressionStateOrder": 1,
        "LatestSledaiScore": 0,
        "NephritisProgressionStateKey": "PresymptomaticAutoimmunity",
        "ActivityTier": "Quiescent",
        "IsHighDiseaseActivity": false,
        "IsDiseaseProgressing": false,
        "TargetPathwayCode": 4,
        "TargetPathway": "IL-17/23",
        "CountPreNephriticSignaturePanels": 0,
        "IsInPreNephriticSignatureCluster": false,
        "SignatureStrength": 0,
        "CurrentProgressionStateId": "lupus-nephritis-progression--presymptomaticautoimmunity",
        "ReachableStatesAhead": 5
      },
      {
        "IndividualId": "ind-l-brandt",
        "GivenName": "Lena",
        "FamilyName": "Brandt",
        "AncestryLabel": "Indigenous American",
        "AgeYears": 28,
        "IsAncestryAbsentFromTraining": true,
        "FederatedDataset": "fed-amazon",
        "EnrollmentDate": "2025-02-03",
        "HasCrypticRelatednessFlag": false,
        "Name": "Lena Brandt",
        "Slug": "brandt-lena",
        "RelativePath": "/intake/new-patient/brandt-lena",
        "FederatedDatasetNodeLabel": "Amazon Indigenous Cohort",
        "CountOfGenomicVariants": 1,
        "CountOfCausalMechanisms": 1,
        "CountOfEpistaticInteractions": 0,
        "RareVariantBurdenScore": 0.03571428571428571,
        "CausalArchitectureScore": 10.035714285714286,
        "IsDevelopmentWindow": false,
        "IsAgingWindow": false,
        "CountConfirmedCausalNodes": 1,
        "SumConfirmedCausalConfidence": 0.8583333333333333,
        "CountCrossAncestryConfirmedNodes": 1,
        "GenomicVariants": null,
        "OmicsAssays": null,
        "EnvironmentalExposures": null,
        "Treatments": null,
        "ClinicalPhenotypes": null,
        "CausalMechanisms": null,
        "EpistaticInteractions": null,
        "CounterfactualTrajectories": null,
        "IndividualPredictions": null,
        "CaseNarrative": "28yo Indigenous-American woman, holdout ancestry; the positive twin — the IL23R node replicated cross-ancestry, so transport passes and she is actionable.",
        "MaxSeverityScore": 6,
        "CountHighSeverityPhenotypes": 0,
        "HasHighSeverityPhenotype": false,
        "CountPredictedTreatmentResponses": 1,
        "HasPredictedTreatmentResponse": true,
        "CreatedBy": "v2-step10",
        "CreatedAt": "2026-06-20T00:00:00Z",
        "ModifiedBy": "v2-step10",
        "ModifiedAt": "2026-06-20T00:00:00Z",
        "ModifiedByModel": "claude-opus-4-8",
        "CountSerologyPanels": 2,
        "MaxProgressionStateOrder": 1,
        "LatestSledaiScore": 0,
        "NephritisProgressionStateKey": "PresymptomaticAutoimmunity",
        "ActivityTier": "Quiescent",
        "IsHighDiseaseActivity": false,
        "IsDiseaseProgressing": false,
        "TargetPathwayCode": 4,
        "TargetPathway": "IL-17/23",
        "CountPreNephriticSignaturePanels": 0,
        "IsInPreNephriticSignatureCluster": false,
        "SignatureStrength": 0,
        "CurrentProgressionStateId": "lupus-nephritis-progression--presymptomaticautoimmunity",
        "ReachableStatesAhead": 5
      }
    ]
  },
  "GenomicVariants": {
    "Description": "Genomic variant calls per individual spanning regulatory, coding, structural, HLA haplotypes, de novo mutations, somatic mosaicism, and mitochondrial variation.",
    "schema": [
      {
        "name": "GenomicVariantId",
        "datatype": "string",
        "type": "raw",
        "nullable": false,
        "Description": "Stable identifier for each genomic variant record."
      },
      {
        "name": "VariantLabel",
        "datatype": "string",
        "type": "raw",
        "nullable": false,
        "Description": "Human-readable variant label (gene/locus)."
      },
      {
        "name": "Individual",
        "datatype": "string",
        "type": "raw",
        "nullable": false,
        "Description": "Individual carrying this variant."
      },
      {
        "name": "VariantType",
        "datatype": "string",
        "type": "raw",
        "nullable": false,
        "Description": "Variant mechanism classification."
      },
      {
        "name": "AlleleFrequency",
        "datatype": "number",
        "type": "raw",
        "nullable": false,
        "Description": "Population allele frequency for rare-variant burden."
      },
      {
        "name": "HasAlleleSpecificExpression",
        "datatype": "boolean",
        "type": "raw",
        "nullable": false,
        "Description": "True when allele-specific expression observed."
      },
      {
        "name": "Name",
        "datatype": "string",
        "type": "calculated",
        "nullable": true,
        "Description": "Display label.",
        "formula": "={{VariantLabel}}"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GenomicVariant page, chained under its Individual parent.",
        "formula": "={{ParentPath}} &amp; \"/variants/\" &amp; {{GenomicVariantId}}"
      },
      {
        "name": "VariantTypeLabel",
        "datatype": "string",
        "type": "calculated",
        "nullable": true,
        "Description": "Lookup of variant type label.",
        "formula": "=INDEX(VariantTypes!{{TypeLabel}}, MATCH({{VariantType}}, VariantTypes!{{VariantTypeId}}, 0))"
      },
      {
        "name": "VariantClassIsRare",
        "datatype": "boolean",
        "type": "lookup",
        "nullable": true,
        "Description": "Whether this variant's class is a rare-variant class (observed type property).",
        "formula": "=INDEX(VariantTypes!{{IsRareVariantClass}}, MATCH({{VariantType}}, VariantTypes!{{VariantTypeId}}, 0))"
      },
      {
        "name": "IndividualAncestryLabel",
        "datatype": "string",
        "type": "calculated",
        "nullable": true,
        "Description": "Lookup of individual ancestry for stratification checks.",
        "formula": "=INDEX(Individuals!{{AncestryLabel}}, MATCH({{Individual}}, Individuals!{{IndividualId}}, 0))"
      },
      {
        "name": "IsRareVariant",
        "datatype": "boolean",
        "type": "calculated",
        "nullable": true,
        "Description": "True when allele frequency below 0.01.",
        "formula": "=IF({{AlleleFrequency}} &lt; 0.01, TRUE(), FALSE())"
      },
      {
        "name": "IsCausalCandidate",
        "datatype": "boolean",
        "type": "calculated",
        "nullable": true,
        "Description": "Derived: rare (by frequency or class) AND shows allele-specific expression.",
        "formula": "=IF(AND(OR({{IsRareVariant}}, {{VariantClassIsRare}}), {{HasAlleleSpecificExpression}}), TRUE(), FALSE())"
      },
      {
        "name": "SourceQuote",
        "datatype": "string",
        "type": "raw",
        "nullable": true,
        "Description": "PANEL 2-&gt;1 provenance pointer (raw leaf, read by nothing downstream): the literal span of the patient's CaseNarrative from which this variant's raw value was extracted. A human verifies the EXTRACTION was faithful here, separately from trusting the derived diagnosis — which is exactly what defeats 'a hallucination laundered through a deterministic function'."
      }
    ],
    "data": [
      {
        "GenomicVariantId": "var-a-irf5",
        "VariantLabel": "IRF5 regulatory (rs2004640)",
        "Individual": "ind-a-reyes",
        "VariantType": "regulatory",
        "AlleleFrequency": 0.006,
        "HasAlleleSpecificExpression": true,
        "Name": "IRF5 regulatory (rs2004640)",
        "ParentPath": "/intake/new-patient/reyes-ana",
        "RelativePath": "/intake/new-patient/reyes-ana/variants/var-a-irf5",
        "VariantTypeLabel": "Regulatory Variant",
        "VariantClassIsRare": true,
        "IndividualAncestryLabel": "European",
        "IsRareVariant": true,
        "IsCausalCandidate": true,
        "SourceQuote": "IRF5 regulatory variant rs2004640 at an allele frequency of 0.006 (rare), and allele-specific expression is present"
      },
      {
        "GenomicVariantId": "var-b-irf5",
        "VariantLabel": "IRF5 regulatory (rs2004640)",
        "Individual": "ind-b-okafor",
        "VariantType": "regulatory",
        "AlleleFrequency": 0.006,
        "HasAlleleSpecificExpression": true,
        "Name": "IRF5 regulatory (rs2004640)",
        "ParentPath": "/intake/new-patient/okafor-bili",
        "RelativePath": "/intake/new-patient/okafor-bili/variants/var-b-irf5",
        "VariantTypeLabel": "Regulatory Variant",
        "VariantClassIsRare": true,
        "IndividualAncestryLabel": "European",
        "IsRareVariant": true,
        "IsCausalCandidate": true,
        "SourceQuote": "IRF5 regulatory variant rs2004640 at an allele frequency of 0.006 (rare), with allele-specific expression present"
      },
      {
        "GenomicVariantId": "var-c-stat4",
        "VariantLabel": "STAT4 regulatory (rs7574865)",
        "Individual": "ind-c-chen",
        "VariantType": "regulatory",
        "AlleleFrequency": 0.008,
        "HasAlleleSpecificExpression": true,
        "Name": "STAT4 regulatory (rs7574865)",
        "ParentPath": "/intake/new-patient/wei-chen",
        "RelativePath": "/intake/new-patient/wei-chen/variants/var-c-stat4",
        "VariantTypeLabel": "Regulatory Variant",
        "VariantClassIsRare": true,
        "IndividualAncestryLabel": "East Asian",
        "IsRareVariant": true,
        "IsCausalCandidate": true,
        "SourceQuote": "STAT4 regulatory variant rs7574865 at an allele frequency of 0.008 (rare), with allele-specific expression present"
      },
      {
        "GenomicVariantId": "var-d-irf5",
        "VariantLabel": "IRF5 regulatory (rs2004640)",
        "Individual": "ind-d-santos",
        "VariantType": "regulatory",
        "AlleleFrequency": 0.006,
        "HasAlleleSpecificExpression": true,
        "Name": "IRF5 regulatory (rs2004640)",
        "ParentPath": "/intake/new-patient/santos-diego",
        "RelativePath": "/intake/new-patient/santos-diego/variants/var-d-irf5",
        "VariantTypeLabel": "Regulatory Variant",
        "VariantClassIsRare": true,
        "IndividualAncestryLabel": "European",
        "IsRareVariant": true,
        "IsCausalCandidate": true,
        "SourceQuote": "IRF5 regulatory variant rs2004640 at an allele frequency of 0.006 (rare), with allele-specific expression present"
      },
      {
        "GenomicVariantId": "var-e-ctla4",
        "VariantLabel": "CTLA4 enhancer (rs3087243)",
        "Individual": "ind-e-mensah",
        "VariantType": "regulatory",
        "AlleleFrequency": 0.007,
        "HasAlleleSpecificExpression": true,
        "Name": "CTLA4 enhancer (rs3087243)",
        "ParentPath": "/intake/new-patient/mensah-esi",
        "RelativePath": "/intake/new-patient/mensah-esi/variants/var-e-ctla4",
        "VariantTypeLabel": "Regulatory Variant",
        "VariantClassIsRare": true,
        "IndividualAncestryLabel": "African",
        "IsRareVariant": true,
        "IsCausalCandidate": true,
        "SourceQuote": "CTLA4 enhancer variant rs3087243 at an allele frequency of 0.007 (rare), with allele-specific expression present"
      },
      {
        "GenomicVariantId": "var-f-il23r",
        "VariantLabel": "IL23R regulatory (rs11209026)",
        "Individual": "ind-f-haidar",
        "VariantType": "regulatory",
        "AlleleFrequency": 0.009,
        "HasAlleleSpecificExpression": true,
        "Name": "IL23R regulatory (rs11209026)",
        "ParentPath": "/intake/new-patient/haidar-faisal",
        "RelativePath": "/intake/new-patient/haidar-faisal/variants/var-f-il23r",
        "VariantTypeLabel": "Regulatory Variant",
        "VariantClassIsRare": true,
        "IndividualAncestryLabel": "Indigenous American",
        "IsRareVariant": true,
        "IsCausalCandidate": true,
        "SourceQuote": "IL23R regulatory variant rs11209026 at an allele frequency of 0.009 (rare), with allele-specific expression present"
      },
      {
        "GenomicVariantId": "var-g-il23r",
        "VariantLabel": "IL23R regulatory (rs11209026)",
        "Individual": "ind-g-lin",
        "VariantType": "regulatory",
        "AlleleFrequency": 0.009,
        "HasAlleleSpecificExpression": true,
        "Name": "IL23R regulatory (rs11209026)",
        "ParentPath": "/intake/new-patient/lin-grace",
        "RelativePath": "/intake/new-patient/lin-grace/variants/var-g-il23r",
        "VariantTypeLabel": "Regulatory Variant",
        "VariantClassIsRare": true,
        "IndividualAncestryLabel": "Indigenous American",
        "IsRareVariant": true,
        "IsCausalCandidate": true,
        "SourceQuote": "IL23R regulatory variant rs11209026 at an allele frequency of 0.009 (rare), with allele-specific expression present"
      },
      {
        "GenomicVariantId": "var-h-irf5",
        "VariantLabel": "IRF5 regulatory (rs2004640)",
        "Individual": "ind-h-yamamoto",
        "VariantType": "regulatory",
        "AlleleFrequency": 0.006,
        "HasAlleleSpecificExpression": true,
        "Name": "IRF5 regulatory (rs2004640)",
        "ParentPath": "/intake/new-patient/yamamoto-hana",
        "RelativePath": "/intake/new-patient/yamamoto-hana/variants/var-h-irf5",
        "VariantTypeLabel": "Regulatory Variant",
        "VariantClassIsRare": true,
        "IndividualAncestryLabel": "East Asian",
        "IsRareVariant": true,
        "IsCausalCandidate": true,
        "SourceQuote": "IRF5 regulatory variant rs2004640 at an allele frequency of 0.006 (rare), and allele-specific expression is present",
        "CreatedBy": "v2-step10",
        "CreatedAt": "2026-06-20T00:00:00Z",
        "ModifiedBy": "v2-step10",
        "ModifiedAt": "2026-06-20T00:00:00Z",
        "ModifiedByModel": "claude-opus-4-8"
      },
      {
        "GenomicVariantId": "var-i-irf5",
        "VariantLabel": "IRF5 regulatory (rs2004640)",
        "Individual": "ind-i-conteh",
        "VariantType": "regulatory",
        "AlleleFrequency": 0.006,
        "HasAlleleSpecificExpression": true,
        "Name": "IRF5 regulatory (rs2004640)",
        "ParentPath": "/intake/new-patient/conteh-ibrahim",
        "RelativePath": "/intake/new-patient/conteh-ibrahim/variants/var-i-irf5",
        "VariantTypeLabel": "Regulatory Variant",
        "VariantClassIsRare": true,
        "IndividualAncestryLabel": "African",
        "IsRareVariant": true,
        "IsCausalCandidate": true,
        "SourceQuote": "IRF5 regulatory variant rs2004640 at an allele frequency of 0.006 (rare), with allele-specific expression present",
        "CreatedBy": "v2-step10",
        "CreatedAt": "2026-06-20T00:00:00Z",
        "ModifiedBy": "v2-step10",
        "ModifiedAt": "2026-06-20T00:00:00Z",
        "ModifiedByModel": "claude-opus-4-8"
      },
      {
        "GenomicVariantId": "var-j-irf5",
        "VariantLabel": "IRF5 regulatory (rs2004640)",
        "Individual": "ind-j-brooks",
        "VariantType": "regulatory",
        "AlleleFrequency": 0.006,
        "HasAlleleSpecificExpression": true,
        "Name": "IRF5 regulatory (rs2004640)",
        "ParentPath": "/intake/new-patient/brooks-jamal",
        "RelativePath": "/intake/new-patient/brooks-jamal/variants/var-j-irf5",
        "VariantTypeLabel": "Regulatory Variant",
        "VariantClassIsRare": true,
        "IndividualAncestryLabel": "Hispanic/Latino",
        "IsRareVariant": true,
        "IsCausalCandidate": true,
        "SourceQuote": "IRF5 regulatory variant rs2004640 at an allele frequency of 0.006 (rare), with allele-specific expression present",
        "CreatedBy": "v2-step10",
        "CreatedAt": "2026-06-20T00:00:00Z",
        "ModifiedBy": "v2-step10",
        "ModifiedAt": "2026-06-20T00:00:00Z",
        "ModifiedByModel": "claude-opus-4-8"
      },
      {
        "GenomicVariantId": "var-k-il23r",
        "VariantLabel": "IL23R regulatory (rs11209026)",
        "Individual": "ind-k-nair",
        "VariantType": "regulatory",
        "AlleleFrequency": 0.009,
        "HasAlleleSpecificExpression": true,
        "Name": "IL23R regulatory (rs11209026)",
        "ParentPath": "/intake/new-patient/nair-kavya",
        "RelativePath": "/intake/new-patient/nair-kavya/variants/var-k-il23r",
        "VariantTypeLabel": "Regulatory Variant",
        "VariantClassIsRare": true,
        "IndividualAncestryLabel": "South Asian",
        "IsRareVariant": true,
        "IsCausalCandidate": true,
        "SourceQuote": "IL23R regulatory variant rs11209026 at an allele frequency of 0.009 (rare), with allele-specific expression present",
        "CreatedBy": "v2-step10",
        "CreatedAt": "2026-06-20T00:00:00Z",
        "ModifiedBy": "v2-step10",
        "ModifiedAt": "2026-06-20T00:00:00Z",
        "ModifiedByModel": "claude-opus-4-8"
      },
      {
        "GenomicVariantId": "var-l-il23r",
        "VariantLabel": "IL23R regulatory (rs11209026)",
        "Individual": "ind-l-brandt",
        "VariantType": "regulatory",
        "AlleleFrequency": 0.009,
        "HasAlleleSpecificExpression": true,
        "Name": "IL23R regulatory (rs11209026)",
        "ParentPath": "/intake/new-patient/brandt-lena",
        "RelativePath": "/intake/new-patient/brandt-lena/variants/var-l-il23r",
        "VariantTypeLabel": "Regulatory Variant",
        "VariantClassIsRare": true,
        "IndividualAncestryLabel": "Indigenous American",
        "IsRareVariant": true,
        "IsCausalCandidate": true,
        "SourceQuote": "IL23R regulatory variant rs11209026 at an allele frequency of 0.009 (rare), with allele-specific expression present",
        "CreatedBy": "v2-step10",
        "CreatedAt": "2026-06-20T00:00:00Z",
        "ModifiedBy": "v2-step10",
        "ModifiedAt": "2026-06-20T00:00:00Z",
        "ModifiedByModel": "claude-opus-4-8"
      }
    ]
  },
  "OmicsAssays": {
    "Description": "Omics assay instances linking individuals to modalities and tissues; captures batch effects, measurement error, and missing tissues.",
    "schema": [
      {
        "name": "OmicsAssayId",
        "datatype": "string",
        "type": "raw",
        "nullable": false,
        "Description": "Stable identifier for each omics assay."
      },
      {
        "name": "AssayLabel",
        "datatype": "string",
        "type": "raw",
        "nullable": false,
        "Description": "Human-readable assay label."
      },
      {
        "name": "Individual",
        "datatype": "string",
        "type": "raw",
        "nullable": false,
        "Description": "Individual assayed."
      },
      {
        "name": "OmicsModality",
        "datatype": "string",
        "type": "raw",
        "nullable": false,
        "Description": "Omics modality used."
      },
      {
        "name": "Tissue",
        "datatype": "string",
        "type": "raw",
        "nullable": true,
        "Description": "Tissue sampled; empty when missing tissues."
      },
      {
        "name": "FederatedDataset",
        "datatype": "string",
        "type": "raw",
        "nullable": true,
        "Description": "Source federated node if applicable."
      },
      {
        "name": "BatchId",
        "datatype": "string",
        "type": "raw",
        "nullable": false,
        "Description": "Sequencing batch for batch effects control."
      },
      {
        "name": "MeasurementErrorScore",
        "datatype": "number",
        "type": "raw",
        "nullable": false,
        "Description": "Estimated measurement error (0-1)."
      },
      {
        "name": "HasCellStateSpecificEffect",
        "datatype": "boolean",
        "type": "raw",
        "nullable": false,
        "Description": "True when cell-state-specific effects detected."
      },
      {
        "name": "Name",
        "datatype": "string",
        "type": "calculated",
        "nullable": true,
        "Description": "Display label.",
        "formula": "={{AssayLabel}}"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OmicsAssay page, chained under its Individual parent.",
        "formula": "={{ParentPath}} &amp; \"/assays/\" &amp; {{OmicsAssayId}}"
      },
      {
        "name": "ModalityLabel",
        "datatype": "string",
        "type": "calculated",
        "nullable": true,
        "Description": "Lookup of modality label.",
        "formula": "=INDEX(OmicsModalities!{{ModalityLabel}}, MATCH({{OmicsModality}}, OmicsModalities!{{OmicsModalityId}}, 0))"
      },
      {
        "name": "TissueLabel",
        "datatype": "string",
        "type": "calculated",
        "nullable": true,
        "Description": "Lookup of tissue label.",
        "formula": "=IF({{Tissue}} = \"\", \"Missing Tissue\", INDEX(Tissues!{{TissueLabel}}, MATCH({{Tissue}}, Tissues!{{TissueId}}, 0)))"
      },
      {
        "name": "HasBatchEffectRisk",
        "datatype": "boolean",
        "type": "calculated",
        "nullable": true,
        "Description": "True when measurement error exceeds 0.3.",
        "formula"</t>
  </si>
  <si>
    <t xml:space="preserve">: "=IF({{MeasurementErrorScore}} &gt; 0.3, TRUE(), FALSE())"
      },
      {
        "name": "IsHighQualityAssay",
        "datatype": "boolean",
        "type": "calculated",
        "nullable": true,
        "Description": "2nd-order quality flag.",
        "formula": "=IF(AND(NOT({{HasBatchEffectRisk}}), {{MeasurementErrorScore}} &lt; 0.15), TRUE(), FALSE())"
      },
      {
        "name": "EvidenceItems",
        "datatype": "string",
        "type": "relationship",
        "nullable": true,
        "Description": "Evidence items measured in this assay.",
        "RelatedTo": "EvidenceItems"
      }
    ],
    "data": [
      {
        "OmicsAssayId": "assay-a-rna",
        "AssayLabel": "assay-a-rna",
        "Individual": "ind-a-reyes",
        "OmicsModality": "rna-seq",
        "Tissue": "blood",
        "FederatedDataset": "",
        "BatchId": "b1",
        "MeasurementErrorScore": 0.05,
        "HasCellStateSpecificEffect": true,
        "Name": "assay-a-rna",
        "ParentPath": "/intake/new-patient/reyes-ana",
        "RelativePath": "/intake/new-patient/reyes-ana/assays/assay-a-rna",
        "ModalityLabel": "RNA-seq",
        "TissueLabel": "Blood",
        "HasBatchEffectRisk": false,
        "IsHighQualityAssay": true,
        "EvidenceItems": null
      },
      {
        "OmicsAssayId": "assay-a-atac",
        "AssayLabel": "assay-a-atac",
        "Individual": "ind-a-reyes",
        "OmicsModality": "atac-seq",
        "Tissue": "blood",
        "FederatedDataset": "",
        "BatchId": "b1",
        "MeasurementErrorScore": 0.05,
        "HasCellStateSpecificEffect": true,
        "Name": "assay-a-atac",
        "ParentPath": "/intake/new-patient/reyes-ana",
        "RelativePath": "/intake/new-patient/reyes-ana/assays/assay-a-atac",
        "ModalityLabel": "ATAC-seq",
        "TissueLabel": "Blood",
        "HasBatchEffectRisk": false,
        "IsHighQualityAssay": true,
        "EvidenceItems": null
      },
      {
        "OmicsAssayId": "assay-a-prot",
        "AssayLabel": "assay-a-prot",
        "Individual": "ind-a-reyes",
        "OmicsModality": "proteomics",
        "Tissue": "blood",
        "FederatedDataset": "",
        "BatchId": "b1",
        "MeasurementErrorScore": 0.05,
        "HasCellStateSpecificEffect": true,
        "Name": "assay-a-prot",
        "ParentPath": "/intake/new-patient/reyes-ana",
        "RelativePath": "/intake/new-patient/reyes-ana/assays/assay-a-prot",
        "ModalityLabel": "Proteomics",
        "TissueLabel": "Blood",
        "HasBatchEffectRisk": false,
        "IsHighQualityAssay": true,
        "EvidenceItems": null
      },
      {
        "OmicsAssayId": "assay-b-rna",
        "AssayLabel": "assay-b-rna",
        "Individual": "ind-b-okafor",
        "OmicsModality": "rna-seq",
        "Tissue": "blood",
        "FederatedDataset": "",
        "BatchId": "b1",
        "MeasurementErrorScore": 0.05,
        "HasCellStateSpecificEffect": true,
        "Name": "assay-b-rna",
        "ParentPath": "/intake/new-patient/okafor-bili",
        "RelativePath": "/intake/new-patient/okafor-bili/assays/assay-b-rna",
        "ModalityLabel": "RNA-seq",
        "TissueLabel": "Blood",
        "HasBatchEffectRisk": false,
        "IsHighQualityAssay": true,
        "EvidenceItems": null
      },
      {
        "OmicsAssayId": "assay-b-atac",
        "AssayLabel": "assay-b-atac",
        "Individual": "ind-b-okafor",
        "OmicsModality": "atac-seq",
        "Tissue": "blood",
        "FederatedDataset": "",
        "BatchId": "b1",
        "MeasurementErrorScore": 0.05,
        "HasCellStateSpecificEffect": true,
        "Name": "assay-b-atac",
        "ParentPath": "/intake/new-patient/okafor-bili",
        "RelativePath": "/intake/new-patient/okafor-bili/assays/assay-b-atac",
        "ModalityLabel": "ATAC-seq",
        "TissueLabel": "Blood",
        "HasBatchEffectRisk": false,
        "IsHighQualityAssay": true,
        "EvidenceItems": null
      },
      {
        "OmicsAssayId": "assay-b-prot",
        "AssayLabel": "assay-b-prot",
        "Individual": "ind-b-okafor",
        "OmicsModality": "proteomics",
        "Tissue": "blood",
        "FederatedDataset": "",
        "BatchId": "b1",
        "MeasurementErrorScore": 0.05,
        "HasCellStateSpecificEffect": true,
        "Name": "assay-b-prot",
        "ParentPath": "/intake/new-patient/okafor-bili",
        "RelativePath": "/intake/new-patient/okafor-bili/assays/assay-b-prot",
        "ModalityLabel": "Proteomics",
        "TissueLabel": "Blood",
        "HasBatchEffectRisk": false,
        "IsHighQualityAssay": true,
        "EvidenceItems": null
      },
      {
        "OmicsAssayId": "assay-c-rna",
        "AssayLabel": "assay-c-rna",
        "Individual": "ind-c-chen",
        "OmicsModality": "rna-seq",
        "Tissue": "blood",
        "FederatedDataset": "",
        "BatchId": "b1",
        "MeasurementErrorScore": 0.05,
        "HasCellStateSpecificEffect": true,
        "Name": "assay-c-rna",
        "ParentPath": "/intake/new-patient/wei-chen",
        "RelativePath": "/intake/new-patient/wei-chen/assays/assay-c-rna",
        "ModalityLabel": "RNA-seq",
        "TissueLabel": "Blood",
        "HasBatchEffectRisk": false,
        "IsHighQualityAssay": true,
        "EvidenceItems": null
      },
      {
        "OmicsAssayId": "assay-c-atac",
        "AssayLabel": "assay-c-atac",
        "Individual": "ind-c-chen",
        "OmicsModality": "atac-seq",
        "Tissue": "blood",
        "FederatedDataset": "",
        "BatchId": "b1",
        "MeasurementErrorScore": 0.05,
        "HasCellStateSpecificEffect": true,
        "Name": "assay-c-atac",
        "ParentPath": "/intake/new-patient/wei-chen",
        "RelativePath": "/intake/new-patient/wei-chen/assays/assay-c-atac",
        "ModalityLabel": "ATAC-seq",
        "TissueLabel": "Blood",
        "HasBatchEffectRisk": false,
        "IsHighQualityAssay": true,
        "EvidenceItems": null
      },
      {
        "OmicsAssayId": "assay-c-prot",
        "AssayLabel": "assay-c-prot",
        "Individual": "ind-c-chen",
        "OmicsModality": "proteomics",
        "Tissue": "blood",
        "FederatedDataset": "",
        "BatchId": "b1",
        "MeasurementErrorScore": 0.05,
        "HasCellStateSpecificEffect": true,
        "Name": "assay-c-prot",
        "ParentPath": "/intake/new-patient/wei-chen",
        "RelativePath": "/intake/new-patient/wei-chen/assays/assay-c-prot",
        "ModalityLabel": "Proteomics",
        "TissueLabel": "Blood",
        "HasBatchEffectRisk": false,
        "IsHighQualityAssay": true,
        "EvidenceItems": null
      },
      {
        "OmicsAssayId": "assay-d-rna",
        "AssayLabel": "assay-d-rna",
        "Individual": "ind-d-santos",
        "OmicsModality": "rna-seq",
        "Tissue": "blood",
        "FederatedDataset": "",
        "BatchId": "b1",
        "MeasurementErrorScore": 0.05,
        "HasCellStateSpecificEffect": true,
        "Name": "assay-d-rna",
        "ParentPath": "/intake/new-patient/santos-diego",
        "RelativePath": "/intake/new-patient/santos-diego/assays/assay-d-rna",
        "ModalityLabel": "RNA-seq",
        "TissueLabel": "Blood",
        "HasBatchEffectRisk": false,
        "IsHighQualityAssay": true,
        "EvidenceItems": null
      },
      {
        "OmicsAssayId": "assay-d-atac",
        "AssayLabel": "assay-d-atac",
        "Individual": "ind-d-santos",
        "OmicsModality": "atac-seq",
        "Tissue": "blood",
        "FederatedDataset": "",
        "BatchId": "b1",
        "MeasurementErrorScore": 0.05,
        "HasCellStateSpecificEffect": true,
        "Name": "assay-d-atac",
        "ParentPath": "/intake/new-patient/santos-diego",
        "RelativePath": "/intake/new-patient/santos-diego/assays/assay-d-atac",
        "ModalityLabel": "ATAC-seq",
        "TissueLabel": "Blood",
        "HasBatchEffectRisk": false,
        "IsHighQualityAssay": true,
        "EvidenceItems": null
      },
      {
        "OmicsAssayId": "assay-d-prot",
        "AssayLabel": "assay-d-prot",
        "Individual": "ind-d-santos",
        "OmicsModality": "proteomics",
        "Tissue": "blood",
        "FederatedDataset": "",
        "BatchId": "b1",
        "MeasurementErrorScore": 0.05,
        "HasCellStateSpecificEffect": true,
        "Name": "assay-d-prot",
        "ParentPath": "/intake/new-patient/santos-diego",
        "RelativePath": "/intake/new-patient/santos-diego/assays/assay-d-prot",
        "ModalityLabel": "Proteomics",
        "TissueLabel": "Blood",
        "HasBatchEffectRisk": false,
        "IsHighQualityAssay": true,
        "EvidenceItems": null
      },
      {
        "OmicsAssayId": "assay-e-rna",
        "AssayLabel": "assay-e-rna",
        "Individual": "ind-e-mensah",
        "OmicsModality": "rna-seq",
        "Tissue": "blood",
        "FederatedDataset": "",
        "BatchId": "b1",
        "MeasurementErrorScore": 0.05,
        "HasCellStateSpecificEffect": true,
        "Name": "assay-e-rna",
        "ParentPath": "/intake/new-patient/mensah-esi",
        "RelativePath": "/intake/new-patient/mensah-esi/assays/assay-e-rna",
        "ModalityLabel": "RNA-seq",
        "TissueLabel": "Blood",
        "HasBatchEffectRisk": false,
        "IsHighQualityAssay": true,
        "EvidenceItems": null
      },
      {
        "OmicsAssayId": "assay-e-atac",
        "AssayLabel": "assay-e-atac",
        "Individual": "ind-e-mensah",
        "OmicsModality": "atac-seq",
        "Tissue": "blood",
        "FederatedDataset": "",
        "BatchId": "b1",
        "MeasurementErrorScore": 0.05,
        "HasCellStateSpecificEffect": true,
        "Name": "assay-e-atac",
        "ParentPath": "/intake/new-patient/mensah-esi",
        "RelativePath": "/intake/new-patient/mensah-esi/assays/assay-e-atac",
        "ModalityLabel": "ATAC-seq",
        "TissueLabel": "Blood",
        "HasBatchEffectRisk": false,
        "IsHighQualityAssay": true,
        "EvidenceItems": null
      },
      {
        "OmicsAssayId": "assay-e-prot",
        "AssayLabel": "assay-e-prot",
        "Individual": "ind-e-mensah",
        "OmicsModality": "proteomics",
        "Tissue": "blood",
        "FederatedDataset": "",
        "BatchId": "b1",
        "MeasurementErrorScore": 0.05,
        "HasCellStateSpecificEffect": true,
        "Name": "assay-e-prot",
        "ParentPath": "/intake/new-patient/mensah-esi",
        "RelativePath": "/intake/new-patient/mensah-esi/assays/assay-e-prot",
        "ModalityLabel": "Proteomics",
        "TissueLabel": "Blood",
        "HasBatchEffectRisk": false,
        "IsHighQualityAssay": true,
        "EvidenceItems": null
      },
      {
        "OmicsAssayId": "assay-f-rna",
        "AssayLabel": "assay-f-rna",
        "Individual": "ind-f-haidar",
        "OmicsModality": "rna-seq",
        "Tissue": "blood",
        "FederatedDataset": "",
        "BatchId": "b1",
        "MeasurementErrorScore": 0.05,
        "HasCellStateSpecificEffect": true,
        "Name": "assay-f-rna",
        "ParentPath": "/intake/new-patient/haidar-faisal",
        "RelativePath": "/intake/new-patient/haidar-faisal/assays/assay-f-rna",
        "ModalityLabel": "RNA-seq",
        "TissueLabel": "Blood",
        "HasBatchEffectRisk": false,
        "IsHighQualityAssay": true,
        "EvidenceItems": null
      },
      {
        "OmicsAssayId": "assay-f-atac",
        "AssayLabel": "assay-f-atac",
        "Individual": "ind-f-haidar",
        "OmicsModality": "atac-seq",
        "Tissue": "blood",
        "FederatedDataset": "",
        "BatchId": "b1",
        "MeasurementErrorScore": 0.05,
        "HasCellStateSpecificEffect": true,
        "Name": "assay-f-atac",
        "ParentPath": "/intake/new-patient/haidar-faisal",
        "RelativePath": "/intake/new-patient/haidar-faisal/assays/assay-f-atac",
        "ModalityLabel": "ATAC-seq",
        "TissueLabel": "Blood",
        "HasBatchEffectRisk": false,
        "IsHighQualityAssay": true,
        "EvidenceItems": null
      },
      {
        "OmicsAssayId": "assay-f-prot",
        "AssayLabel": "assay-f-prot",
        "Individual": "ind-f-haidar",
        "OmicsModality": "proteomics",
        "Tissue": "blood",
        "FederatedDataset": "",
        "BatchId": "b1",
        "MeasurementErrorScore": 0.05,
        "HasCellStateSpecificEffect": true,
        "Name": "assay-f-prot",
        "ParentPath": "/intake/new-patient/haidar-faisal",
        "RelativePath": "/intake/new-patient/haidar-faisal/assays/assay-f-prot",
        "ModalityLabel": "Proteomics",
        "TissueLabel": "Blood",
        "HasBatchEffectRisk": false,
        "IsHighQualityAssay": true,
        "EvidenceItems": null
      },
      {
        "OmicsAssayId": "assay-g-rna",
        "AssayLabel": "assay-g-rna",
        "Individual": "ind-g-lin",
        "OmicsModality": "rna-seq",
        "Tissue": "blood",
        "FederatedDataset": "",
        "BatchId": "b1",
        "MeasurementErrorScore": 0.05,
        "HasCellStateSpecificEffect": true,
        "Name": "assay-g-rna",
        "ParentPath": "/intake/new-patient/lin-grace",
        "RelativePath": "/intake/new-patient/lin-grace/assays/assay-g-rna",
        "ModalityLabel": "RNA-seq",
        "TissueLabel": "Blood",
        "HasBatchEffectRisk": false,
        "IsHighQualityAssay": true,
        "EvidenceItems": null
      },
      {
        "OmicsAssayId": "assay-g-atac",
        "AssayLabel": "assay-g-atac",
        "Individual": "ind-g-lin",
        "OmicsModality": "atac-seq",
        "Tissue": "blood",
        "FederatedDataset": "",
        "BatchId": "b1",
        "MeasurementErrorScore": 0.05,
        "HasCellStateSpecificEffect": true,
        "Name": "assay-g-atac",
        "ParentPath": "/intake/new-patient/lin-grace",
        "RelativePath": "/intake/new-patient/lin-grace/assays/assay-g-atac",
        "ModalityLabel": "ATAC-seq",
        "TissueLabel": "Blood",
        "HasBatchEffectRisk": false,
        "IsHighQualityAssay": true,
        "EvidenceItems": null
      },
      {
        "OmicsAssayId": "assay-g-prot",
        "AssayLabel": "assay-g-prot",
        "Individual": "ind-g-lin",
        "OmicsModality": "proteomics",
        "Tissue": "blood",
        "FederatedDataset": "",
        "BatchId": "b1",
        "MeasurementErrorScore": 0.05,
        "HasCellStateSpecificEffect": true,
        "Name": "assay-g-prot",
        "ParentPath": "/intake/new-patient/lin-grace",
        "RelativePath": "/intake/new-patient/lin-grace/assays/assay-g-prot",
        "ModalityLabel": "Proteomics",
        "TissueLabel": "Blood",
        "HasBatchEffectRisk": false,
        "IsHighQualityAssay": true,
        "EvidenceItems": null
      },
      {
        "OmicsAssayId": "assay-h-rna",
        "AssayLabel": "assay-h-rna",
        "Individual": "ind-h-yamamoto",
        "OmicsModality": "rna-seq",
        "Tissue": "blood",
        "FederatedDataset": "",
        "BatchId": "b1",
        "MeasurementErrorScore": 0.05,
        "HasCellStateSpecificEffect": true,
        "Name": "assay-h-rna",
        "ParentPath": "/intake/new-patient/yamamoto-hana",
        "RelativePath": "/intake/new-patient/yamamoto-hana/assays/assay-h-rna",
        "ModalityLabel": "RNA-seq",
        "TissueLabel": "Blood",
        "HasBatchEffectRisk": false,
        "IsHighQualityAssay": true,
        "EvidenceItems": null,
        "CreatedBy": "v2-step10",
        "CreatedAt": "2026-06-20T00:00:00Z",
        "ModifiedBy": "v2-step10",
        "ModifiedAt": "2026-06-20T00:00:00Z",
        "ModifiedByModel": "claude-opus-4-8"
      },
      {
        "OmicsAssayId": "assay-h-atac",
        "AssayLabel": "assay-h-atac",
        "Individual": "ind-h-yamamoto",
        "OmicsModality": "atac-seq",
        "Tissue": "blood",
        "FederatedDataset": "",
        "BatchId": "b1",
        "MeasurementErrorScore": 0.05,
        "HasCellStateSpecificEffect": true,
        "Name": "assay-h-atac",
        "ParentPath": "/intake/new-patient/yamamoto-hana",
        "RelativePath": "/intake/new-patient/yamamoto-hana/assays/assay-h-atac",
        "ModalityLabel": "ATAC-seq",
        "TissueLabel": "Blood",
        "HasBatchEffectRisk": false,
        "IsHighQualityAssay": true,
        "EvidenceItems": null,
        "CreatedBy": "v2-step10",
        "CreatedAt": "2026-06-20T00:00:00Z",
        "ModifiedBy": "v2-step10",
        "ModifiedAt": "2026-06-20T00:00:00Z",
        "ModifiedByModel": "claude-opus-4-8"
      },
      {
        "OmicsAssayId": "assay-h-prot",
        "AssayLabel": "assay-h-prot",
        "Individual": "ind-h-yamamoto",
        "OmicsModality": "proteomics",
        "Tissue": "blood",
        "FederatedDataset": "",
        "BatchId": "b1",
        "MeasurementErrorScore": 0.05,
        "HasCellStateSpecificEffect": true,
        "Name": "assay-h-prot",
        "ParentPath": "/intake/new-patient/yamamoto-hana",
        "RelativePath": "/intake/new-patient/yamamoto-hana/assays/assay-h-prot",
        "ModalityLabel": "Proteomics",
        "TissueLabel": "Blood",
        "HasBatchEffectRisk": false,
        "IsHighQualityAssay": true,
        "EvidenceItems": null,
        "CreatedBy": "v2-step10",
        "CreatedAt": "2026-06-20T00:00:00Z",
        "ModifiedBy": "v2-step10",
        "ModifiedAt": "2026-06-20T00:00:00Z",
        "ModifiedByModel": "claude-opus-4-8"
      },
      {
        "OmicsAssayId": "assay-i-rna",
        "AssayLabel": "assay-i-rna",
        "Individual": "ind-i-conteh",
        "OmicsModality": "rna-seq",
        "Tissue": "blood",
        "FederatedDataset": "",
        "BatchId": "b1",
        "MeasurementErrorScore": 0.05,
        "HasCellStateSpecificEffect": true,
        "Name": "assay-i-rna",
        "ParentPath": "/intake/new-patient/conteh-ibrahim",
        "RelativePath": "/intake/new-patient/conteh-ibrahim/assays/assay-i-rna",
        "ModalityLabel": "RNA-seq",
        "TissueLabel": "Blood",
        "HasBatchEffectRisk": false,
        "IsHighQualityAssay": true,
        "EvidenceItems": null,
        "CreatedBy": "v2-step10",
        "CreatedAt": "2026-06-20T00:00:00Z",
        "ModifiedBy": "v2-step10",
        "ModifiedAt": "2026-06-20T00:00:00Z",
        "ModifiedByModel": "claude-opus-4-8"
      },
      {
        "OmicsAssayId": "assay-i-atac",
        "AssayLabel": "assay-i-atac",
        "Individual": "ind-i-conteh",
        "OmicsModality": "atac-seq",
        "Tissue": "blood",
        "FederatedDataset": "",
        "BatchId": "b1",
        "MeasurementErrorScore": 0.05,
        "HasCellStateSpecificEffect": true,
        "Name": "assay-i-atac",
        "ParentPath": "/intake/new-patient/conteh-ibrahim",
        "RelativePath": "/intake/new-patient/conteh-ibrahim/assays/assay-i-atac",
        "ModalityLabel": "ATAC-seq",
        "TissueLabel": "Blood",
        "HasBatchEffectRisk": false,
        "IsHighQualityAssay": true,
        "EvidenceItems": null,
        "CreatedBy": "v2-step10",
        "CreatedAt": "2026-06-20T00:00:00Z",
        "ModifiedBy": "v2-step10",
        "ModifiedAt": "2026-06-20T00:00:00Z",
        "ModifiedByModel": "claude-opus-4-8"
      },
      {
        "OmicsAssayId": "assay-i-prot",
        "AssayLabel": "assay-i-prot",
        "Individual": "ind-i-conteh",
        "OmicsModality": "proteomics",
        "Tissue": "blood",
        "FederatedDataset": "",
        "BatchId": "b1",
        "MeasurementErrorScore": 0.05,
        "HasCellStateSpecificEffect": true,
        "Name": "assay-i-prot",
        "ParentPath": "/intake/new-patient/conteh-ibrahim",
        "RelativePath": "/intake/new-patient/conteh-ibrahim/assays/assay-i-prot",
        "ModalityLabel": "Proteomics",
        "TissueLabel": "Blood",
        "HasBatchEffectRisk": false,
        "IsHighQualityAssay": true,
        "EvidenceItems": null,
        "CreatedBy": "v2-step10",
        "CreatedAt": "2026-06-20T00:00:00Z",
        "ModifiedBy": "v2-step10",
        "ModifiedAt": "2026-06-20T00:00:00Z",
        "ModifiedByModel": "claude-opus-4-8"
      },
      {
        "OmicsAssayId": "assay-j-rna",
        "AssayLabel": "assay-j-rna",
        "Individual": "ind-j-brooks",
        "OmicsModality": "rna-seq",
        "Tissue": "blood",
        "FederatedDataset": "",
        "BatchId": "b1",
        "MeasurementErrorScore": 0.05,
        "HasCellStateSpecificEffect": true,
        "Name": "assay-j-rna",
        "ParentPath": "/intake/new-patient/brooks-jamal",
        "RelativePath": "/intake/new-patient/brooks-jamal/assays/assay-j-rna",
        "ModalityLabel": "RNA-seq",
        "TissueLabel": "Blood",
        "HasBatchEffectRisk": false,
        "IsHighQualityAssay": true,
        "EvidenceItems": null,
        "CreatedBy": "v2-step10",
        "CreatedAt": "2026-06-20T00:00:00Z",
        "ModifiedBy": "v2-step10",
        "ModifiedAt": "2026-06-20T00:00:00Z",
        "ModifiedByModel": "claude-opus-4-8"
      },
      {
        "OmicsAssayId": "assay-j-atac",
        "AssayLabel": "assay-j-atac",
        "Individual": "ind-j-brooks",
        "OmicsModality": "atac-seq",
        "Tissue": "blood",
        "FederatedDataset": "",
        "BatchId": "b1",
        "MeasurementErrorScore": 0.05,
        "HasCellStateSpecificEffect": true,
        "Name": "assay-j-atac",
        "ParentPath": "/intake/new-patient/brooks-jamal",
        "RelativePath": "/intake/new-patient/brooks-jamal/assays/assay-j-atac",
        "ModalityLabel": "ATAC-seq",
        "TissueLabel": "Blood",
        "HasBatchEffectRisk": false,
        "IsHighQualityAssay": true,
        "EvidenceItems": null,
        "CreatedBy": "v2-step10",
        "CreatedAt": "2026-06-20T00:00:00Z",
        "ModifiedBy": "v2-step10",
        "ModifiedAt": "2026-06-20T00:00:00Z",
        "ModifiedByModel": "claude-opus-4-8"
      },
      {
        "OmicsAssayId": "assay-j-prot",
        "AssayLabel": "assay-j-prot",
        "Individual": "ind-j-brooks",
        "OmicsModality": "proteomics",
        "Tissue": "blood",
        "FederatedDataset": "",
        "BatchId": "b1",
        "MeasurementErrorScore": 0.05,
        "HasCellStateSpecificEffect": true,
        "Name": "assay-j-prot",
        "ParentPath": "/intake/new-patient/brooks-jamal",
        "RelativePath": "/intake/new-patient/brooks-jamal/assays/assay-j-prot",
        "ModalityLabel": "Proteomics",
        "TissueLabel": "Blood",
        "HasBatchEffectRisk": false,
        "IsHighQualityAssay": true,
        "EvidenceItems": null,
        "CreatedBy": "v2-step10",
        "CreatedAt": "2026-06-20T00:00:00Z",
        "ModifiedBy": "v2-step10",
        "ModifiedAt": "2026-06-20T00:00:00Z",
        "ModifiedByModel": "claude-opus-4-8"
      },
      {
        "OmicsAssayId": "assay-k-rna",
        "AssayLabel": "assay-k-rna",
        "Individual": "ind-k-nair",
        "OmicsModality": "rna-seq",
        "Tissue": "blood",
        "FederatedDataset": "",
        "BatchId": "b1",
        "MeasurementErrorScore": 0.05,
        "HasCellStateSpecificEffect": true,
        "Name": "assay-k-rna",
        "ParentPath": "/intake/new-patient/nair-kavya",
        "RelativePath": "/intake/new-patient/nair-kavya/assays/assay-k-rna",
        "ModalityLabel": "RNA-seq",
        "TissueLabel": "Blood",
        "HasBatchEffectRisk": false,
        "IsHighQualityAssay": true,
        "EvidenceItems": null,
        "CreatedBy": "v2-step10",
        "CreatedAt": "2026-06-20T00:00:00Z",
        "ModifiedBy": "v2-step10",
        "ModifiedAt": "2026-06-20T00:00:00Z",
        "ModifiedByModel": "claude-opus-4-8"
      },
      {
        "OmicsAssayId": "assay-k-atac",
        "AssayLabel": "assay-k-atac",
        "Individual": "ind-k-nair",
        "OmicsModality": "atac-seq",
        "Tissue": "blood",
        "FederatedDataset": "",
        "BatchId": "b1",
        "MeasurementErrorScore": 0.05,
        "HasCellStateSpecificEffect": true,
        "Name": "assay-k-atac",
        "ParentPath": "/intake/new-patient/nair-kavya",
        "RelativePath": "/intake/new-patient/nair-kavya/assays/assay-k-atac",
        "ModalityLabel": "ATAC-seq",
        "TissueLabel": "Blood",
        "HasBatchEffectRisk": false,
        "IsHighQualityAssay": true,
        "EvidenceItems": null,
        "CreatedBy": "v2-step10",
        "CreatedAt": "2026-06-20T00:00:00Z",
        "ModifiedBy": "v2-step10",
        "ModifiedAt": "2026-06-20T00:00:00Z",
        "ModifiedByModel": "claude-opus-4-8"
      },
      {
        "OmicsAssayId": "assay-k-prot",
        "AssayLabel": "assay-k-prot",
        "Individual": "ind-k-nair",
        "OmicsModality": "proteomics",
        "Tissue": "blood",
        "FederatedDataset": "",
        "BatchId": "b1",
        "MeasurementErrorScore": 0.05,
        "HasCellStateSpecificEffect": true,
        "Name": "assay-k-prot",
        "ParentPath": "/intake/new-patient/nair-kavya",
        "RelativePath": "/intake/new-patient/nair-kavya/assays/assay-k-prot",
        "ModalityLabel": "Proteomics",
        "TissueLabel": "Blood",
        "HasBatchEffectRisk": false,
        "IsHighQualityAssay": true,
        "EvidenceItems": null,
        "CreatedBy": "v2-step10",
        "CreatedAt": "2026-06-20T00:00:00Z",
        "ModifiedBy": "v2-step10",
        "ModifiedAt": "2026-06-20T00:00:00Z",
        "ModifiedByModel": "claude-opus-4-8"
      },
      {
        "OmicsAssayId": "assay-l-rna",
        "AssayLabel": "assay-l-rna",
        "Individual": "ind-l-brandt",
        "OmicsModality": "rna-seq",
        "Tissue": "blood",
        "FederatedDataset": "",
        "BatchId": "b1",
        "MeasurementErrorScore": 0.05,
        "HasCellStateSpecificEffect": true,
        "Name": "assay-l-rna",
        "ParentPath": "/intake/new-patient/brandt-lena",
        "RelativePath": "/intake/new-patient/brandt-lena/assays/assay-l-rna",
        "ModalityLabel": "RNA-seq",
        "TissueLabel": "Blood",
        "HasBatchEffectRisk": false,
        "IsHighQualityAssay": true,
        "EvidenceItems": null,
        "CreatedBy": "v2-step10",
        "CreatedAt": "2026-06-20T00:00:00Z",
        "ModifiedBy": "v2-step10",
        "ModifiedAt": "2026-06-20T00:00:00Z",
        "ModifiedByModel": "claude-opus-4-8"
      },
      {
        "OmicsAssayId": "assay-l-atac",
        "AssayLabel": "assay-l-atac",
        "Individual": "ind-l-brandt",
        "OmicsModality": "atac-seq",
        "Tissue": "blood",
        "FederatedDataset": "",
        "BatchId": "b1",
        "MeasurementErrorScore": 0.05,
        "HasCellStateSpecificEffect": true,
        "Name": "assay-l-atac",
        "ParentPath": "/intake/new-patient/brandt-lena",
        "RelativePath": "/intake/new-patient/brandt-lena/assays/assay-l-atac",
        "ModalityLabel": "ATAC-seq",
        "TissueLabel": "Blood",
        "HasBatchEffectRisk": false,
        "IsHighQualityAssay": true,
        "EvidenceItems": null,
        "CreatedBy": "v2-step10",
        "CreatedAt": "2026-06-20T00:00:00Z",
        "ModifiedBy": "v2-step10",
        "ModifiedAt": "2026-06-20T00:00:00Z",
        "ModifiedByModel": "claude-opus-4-8"
      },
      {
        "OmicsAssayId": "assay-l-prot",
        "AssayLabel": "assay-l-prot",
        "Individual": "ind-l-brandt",
        "OmicsModality": "proteomics",
        "Tissue": "blood",
        "FederatedDataset": "",
        "BatchId": "b1",
        "MeasurementErrorScore": 0.05,
        "HasCellStateSpecificEffect": true,
        "Name": "assay-l-prot",
        "ParentPath": "/intake/new-patient/brandt-lena",
        "RelativePath": "/intake/new-patient/brandt-lena/assays/assay-l-prot",
        "ModalityLabel": "Proteomics",
        "TissueLabel": "Blood",
        "HasBatchEffectRisk": false,
        "IsHighQualityAssay": true,
        "EvidenceItems": null,
        "CreatedBy": "v2-step10",
        "CreatedAt": "2026-06-20T00:00:00Z",
        "ModifiedBy": "v2-step10",
        "ModifiedAt": "2026-06-20T00:00:00Z",
        "ModifiedByModel": "claude-opus-4-8"
      }
    ]
  },
  "EvidenceItems": {
    "Description": "One observed support signal for a causal mechanism, measured by one omics assay. Mechanism confidence is an aggregation over these rows.",
    "schema": [
      {
        "name": "EvidenceItemId",
        "datatype": "string",
        "type": "raw",
        "nullable": false,
        "Description": "Stable id for this evidence observation."
      },
      {
        "name": "EvidenceLabel",
        "datatype": "string",
        "type": "raw",
        "nullable": false,
        "Description": "Human label for the evidence row."
      },
      {
        "name": "CausalMechanism",
        "datatype": "string",
        "type": "raw",
        "nullable": false,
        "Description": "FK to the mechanism this evidence supports.",
        "RelatedTo": "CausalMechanisms"
      },
      {
        "name": "OmicsAssay",
        "datatype": "string",
        "type": "raw",
        "nullable": false,
        "Description": "FK to the omics assay this signal was measured in.",
        "RelatedTo": "OmicsAssays"
      },
      {
        "name": "EffectSize",
        "datatype": "number",
        "type": "raw",
        "nullable": false,
        "Description": "OBSERVATION: measured (absolute) effect magnitude."
      },
      {
        "name": "StandardError",
        "datatype": "number",
        "type": "raw",
        "nullable": false,
        "Description": "OBSERVATION: measured standard error of the effect."
      },
      {
        "name": "IsCrossModality",
        "datatype": "boolean",
        "type": "raw",
        "nullable": false,
        "Description": "OBSERVATION: TRUE if this signal comes from a different omics modality than the mechanism's primary one."
      },
      {
        "name": "IsNegativeControlArm",
        "datatype": "boolean",
        "type": "raw",
        "nullable": false,
        "Description": "OBSERVATION: TRUE if this row is a measured control arm rather than support."
      },
      {
        "name": "IsAdjustedForAncestryPCs",
        "datatype": "boolean",
        "type": "raw",
        "nullable": false,
        "Description": "OBSERVATION: TRUE if the analysis adjusted for ancestry principal components."
      },
      {
        "name": "IsAdjustedForBatch",
        "datatype": "boolean",
        "type": "raw",
        "nullable": false,
        "Description": "OBSERVATION: TRUE if the analysis adjusted for batch."
      },
      {
        "name": "IsSyntheticLeaf",
        "datatype": "boolean",
        "type": "raw",
        "nullable": false,
        "Description": "TRUST BOUNDARY (raw leaf, read by nothing downstream): TRUE marks this row as an LLM-produced synthetic-but-transparent test result rather than a real measured observation. Surfaces in the writeup so legible-reasoning-over-synthetic-evidence is never misread as solved science. The case is invented; this flag says so out loud at the cell level."
      },
      {
        "name": "RepresentsAssayModality",
        "datatype": "string",
        "type": "raw",
        "nullable": true,
        "Description": "PROVENANCE STUB (raw leaf, read by nothing downstream): which real assay/modality this synthetic leaf stands in for (e.g. 'cis-eQTL, whole-blood RNA-seq'). Documents where real evidence would attach if this case were instrumented."
      },
      {
        "name": "IdentificationAssumption",
        "datatype": "string",
        "type": "raw",
        "nullable": true,
        "Description": "PROVENANCE STUB (raw leaf, read by nothing downstream): the identification assumption under which this leaf would be valid evidence (e.g. 'no horizontal pleiotropy; instrument relevance F&gt;10'). Turns 'synthetic test result' into 'documentation of where real evidence attaches and under what condition it is trustworthy'."
      },
      {
        "name": "Name",
        "datatype": "string",
        "type": "calculated",
        "nullable": false,
        "Description": "Display name.",
        "formula": "={{EvidenceLabel}}"
      },
      {
        "name": "ParentPath",
        "datatype": "string",
        "type": "lookup",
        "nullable": true,
        "Description": "Lookup: CausalMechanisms.RelativePath via CausalMechanism —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t>
  </si>
  <si>
    <t xml:space="preserve">is EvidenceItem page, chained under its CausalMechanism parent.",
        "formula": "={{ParentPath}} &amp; \"/evidence/\" &amp; {{EvidenceItemId}}"
      },
      {
        "name": "AssayIsHighQuality",
        "datatype": "boolean",
        "type": "lookup",
        "nullable": true,
        "Description": "Whether the supporting assay passed quality control.",
        "formula": "=INDEX(OmicsAssays!{{IsHighQualityAssay}}, MATCH({{OmicsAssay}}, OmicsAssays!{{OmicsAssayId}}, 0))"
      },
      {
        "name": "ZStat",
        "datatype": "number",
        "type": "calculated",
        "nullable": true,
        "Description": "Derived signal-to-noise ratio (effect / SE), 0 if SE non-positive.",
        "formula": "=IF({{StandardError}} &gt; 0, {{EffectSize}} / {{StandardError}}, 0)"
      },
      {
        "name": "IsConfoundControlled",
        "datatype": "boolean",
        "type": "calculated",
        "nullable": true,
        "Description": "Derived: both ancestry-PC and batch adjustment present.",
        "formula": "=IF(AND({{IsAdjustedForAncestryPCs}}, {{IsAdjustedForBatch}}), TRUE(), FALSE())"
      },
      {
        "name": "IsQualifiedEvidence",
        "datatype": "boolean",
        "type": "calculated",
        "nullable": true,
        "Description": "Derived: clean assay, real support arm, signal-to-noise &gt;= 2, confound-controlled.",
        "formula": "=IF(AND({{AssayIsHighQuality}}, NOT({{IsNegativeControlArm}}), {{ZStat}} &gt;= 2, {{IsConfoundControlled}}), TRUE(), FALSE())"
      },
      {
        "name": "SourceQuote",
        "datatype": "string",
        "type": "raw",
        "nullable": true,
        "Description": "PANEL 2-&gt;1 provenance pointer (raw leaf, read by nothing downstream): the literal span of the patient's CaseNarrative from which this evidence assay's raw value was extracted. A human verifies the EXTRACTION was faithful here, separately from trusting the derived diagnosis — which is exactly what defeats 'a hallucination laundered through a deterministic function'."
      }
    ],
    "data": [
      {
        "EvidenceItemId": "ev-a-1",
        "EvidenceLabel": "ev-a-1",
        "CausalMechanism": "cm-a",
        "OmicsAssay": "assay-a-rna",
        "EffectSize": 0.91,
        "StandardError": 0.2,
        "IsCrossModality": false,
        "IsNegativeControlArm": false,
        "IsAdjustedForAncestryPCs": true,
        "IsAdjustedForBatch": true,
        "IsSyntheticLeaf": true,
        "RepresentsAssayModality": "cis-eQTL, blood RNA-seq",
        "IdentificationAssumption": "colocalization PP4&gt;0.8; no horizontal pleiotropy on the eQTL instrument",
        "Name": "ev-a-1",
        "ParentPath": "/intake/new-patient/reyes-ana/mechanisms/cm-a",
        "RelativePath": "/intake/new-patient/reyes-ana/mechanisms/cm-a/evidence/ev-a-1",
        "AssayIsHighQuality": true,
        "ZStat": 4.55,
        "IsConfoundControlled": true,
        "IsQualifiedEvidence": true,
        "SourceQuote": "cis-eQTL in blood RNA-seq with effect 0.91 (SE 0.20)"
      },
      {
        "EvidenceItemId": "ev-a-2",
        "EvidenceLabel": "ev-a-2",
        "CausalMechanism": "cm-a",
        "OmicsAssay": "assay-a-atac",
        "EffectSize": 0.73,
        "StandardError": 0.19,
        "IsCrossModality": true,
        "IsNegativeControlArm": false,
        "IsAdjustedForAncestryPCs": true,
        "IsAdjustedForBatch": true,
        "IsSyntheticLeaf": true,
        "RepresentsAssayModality": "caQTL, blood ATAC-seq",
        "IdentificationAssumption": "open-chromatin peak maps to the credible set; cell-state confounding adjusted",
        "Name": "ev-a-2",
        "ParentPath": "/intake/new-patient/reyes-ana/mechanisms/cm-a",
        "RelativePath": "/intake/new-patient/reyes-ana/mechanisms/cm-a/evidence/ev-a-2",
        "AssayIsHighQuality": true,
        "ZStat": 3.8421052631578947,
        "IsConfoundControlled": true,
        "IsQualifiedEvidence": true,
        "SourceQuote": "caQTL in blood ATAC-seq with effect 0.73 (SE 0.19)"
      },
      {
        "EvidenceItemId": "ev-a-3",
        "EvidenceLabel": "ev-a-3",
        "CausalMechanism": "cm-a",
        "OmicsAssay": "assay-a-prot",
        "EffectSize": 0.66,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"ev-a-3",
        "ParentPath": "/intake/new-patient/reyes-ana/mechanisms/cm-a",
        "RelativePath": "/intake/new-patient/reyes-ana/mechanisms/cm-a/evidence/ev-a-3",
        "AssayIsHighQuality": true,
        "ZStat": 3.2195121951219514,
        "IsConfoundControlled": true,
        "IsQualifiedEvidence": true,
        "SourceQuote": "pQTL in blood proteomics with effect 0.66 (SE 0.20)"
      },
      {
        "EvidenceItemId": "ev-b-1",
        "EvidenceLabel": "ev-b-1",
        "CausalMechanism": "cm-b",
        "OmicsAssay": "assay-b-rna",
        "EffectSize": 0.84,
        "StandardError": 0.21,
        "IsCrossModality": false,
        "IsNegativeControlArm": false,
        "IsAdjustedForAncestryPCs": true,
        "IsAdjustedForBatch": true,
        "IsSyntheticLeaf": true,
        "RepresentsAssayModality": "cis-eQTL, blood RNA-seq",
        "IdentificationAssumption": "colocalization PP4&gt;0.8; no horizontal pleiotropy on the eQTL instrument",
        "Name": "ev-b-1",
        "ParentPath": "/intake/new-patient/okafor-bili/mechanisms/cm-b",
        "RelativePath": "/intake/new-patient/okafor-bili/mechanisms/cm-b/evidence/ev-b-1",
        "AssayIsHighQuality": true,
        "ZStat": 4,
        "IsConfoundControlled": true,
        "IsQualifiedEvidence": true,
        "SourceQuote": "cis-eQTL in blood RNA-seq with effect 0.84 (SE 0.21)"
      },
      {
        "EvidenceItemId": "ev-b-2",
        "EvidenceLabel": "ev-b-2",
        "CausalMechanism": "cm-b",
        "OmicsAssay": "assay-b-atac",
        "EffectSize": 0.79,
        "StandardError": 0.205,
        "IsCrossModality": true,
        "IsNegativeControlArm": false,
        "IsAdjustedForAncestryPCs": true,
        "IsAdjustedForBatch": true,
        "IsSyntheticLeaf": true,
        "RepresentsAssayModality": "caQTL, blood ATAC-seq",
        "IdentificationAssumption": "open-chromatin peak maps to the credible set; cell-state confounding adjusted",
        "Name": "ev-b-2",
        "ParentPath": "/intake/new-patient/okafor-bili/mechanisms/cm-b",
        "RelativePath": "/intake/new-patient/okafor-bili/mechanisms/cm-b/evidence/ev-b-2",
        "AssayIsHighQuality": true,
        "ZStat": 3.8536585365853657,
        "IsConfoundControlled": true,
        "IsQualifiedEvidence": true,
        "SourceQuote": "caQTL in blood ATAC-seq with effect 0.79 (SE 0.20)"
      },
      {
        "EvidenceItemId": "ev-b-3",
        "EvidenceLabel": "ev-b-3",
        "CausalMechanism": "cm-b",
        "OmicsAssay": "assay-b-prot",
        "EffectSize": 0.58,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"ev-b-3",
        "ParentPath": "/intake/new-patient/okafor-bili/mechanisms/cm-b",
        "RelativePath": "/intake/new-patient/okafor-bili/mechanisms/cm-b/evidence/ev-b-3",
        "AssayIsHighQuality": true,
        "ZStat": 2.8292682926829267,
        "IsConfoundControlled": true,
        "IsQualifiedEvidence": true,
        "SourceQuote": "pQTL in blood proteomics with effect 0.58 (SE 0.20)"
      },
      {
        "EvidenceItemId": "ev-c-1",
        "EvidenceLabel": "ev-c-1",
        "CausalMechanism": "cm-c",
        "OmicsAssay": "assay-c-rna",
        "EffectSize": 1.02,
        "StandardError": 0.225,
        "IsCrossModality": false,
        "IsNegativeControlArm": false,
        "IsAdjustedForAncestryPCs": true,
        "IsAdjustedForBatch": true,
        "IsSyntheticLeaf": true,
        "RepresentsAssayModality": "cis-eQTL, blood RNA-seq",
        "IdentificationAssumption": "colocalization PP4&gt;0.8; no horizontal pleiotropy on the eQTL instrument",
        "Name": "ev-c-1",
        "ParentPath": "/intake/new-patient/wei-chen/mechanisms/cm-c",
        "RelativePath": "/intake/new-patient/wei-chen/mechanisms/cm-c/evidence/ev-c-1",
        "AssayIsHighQuality": true,
        "ZStat": 4.533333333333333,
        "IsConfoundControlled": true,
        "IsQualifiedEvidence": true,
        "SourceQuote": "cis-eQTL in blood RNA-seq with effect 1.02 (SE 0.23)"
      },
      {
        "EvidenceItemId": "ev-c-2",
        "EvidenceLabel": "ev-c-2",
        "CausalMechanism": "cm-c",
        "OmicsAssay": "assay-c-atac",
        "EffectSize": 0.61,
        "StandardError": 0.205,
        "IsCrossModality": true,
        "IsNegativeControlArm": false,
        "IsAdjustedForAncestryPCs": true,
        "IsAdjustedForBatch": true,
        "IsSyntheticLeaf": true,
        "RepresentsAssayModality": "caQTL, blood ATAC-seq",
        "IdentificationAssumption": "open-chromatin peak maps to the credible set; cell-state confounding adjusted",
        "Name": "ev-c-2",
        "ParentPath": "/intake/new-patient/wei-chen/mechanisms/cm-c",
        "RelativePath": "/intake/new-patient/wei-chen/mechanisms/cm-c/evidence/ev-c-2",
        "AssayIsHighQuality": true,
        "ZStat": 2.975609756097561,
        "IsConfoundControlled": true,
        "IsQualifiedEvidence": true,
        "SourceQuote": "caQTL in blood ATAC-seq with effect 0.61 (SE 0.20)"
      },
      {
        "EvidenceItemId": "ev-c-3",
        "EvidenceLabel": "ev-c-3",
        "CausalMechanism": "cm-c",
        "OmicsAssay": "assay-c-prot",
        "EffectSize": 0.55,
        "StandardError": 0.215,
        "IsCrossModality": true,
        "IsNegativeControlArm": false,
        "IsAdjustedForAncestryPCs": true,
        "IsAdjustedForBatch": true,
        "IsSyntheticLeaf": true,
        "RepresentsAssayModality": "pQTL, blood mass-spec proteomics",
        "IdentificationAssumption": "cis-pQTL within 1Mb; aptamer/epitope-binding artifact excluded",
        "Name": "ev-c-3",
        "ParentPath": "/intake/new-patient/wei-chen/mechanisms/cm-c",
        "RelativePath": "/intake/new-patient/wei-chen/mechanisms/cm-c/evidence/ev-c-3",
        "AssayIsHighQuality": true,
        "ZStat": 2.558139534883721,
        "IsConfoundControlled": true,
        "IsQualifiedEvidence": true,
        "SourceQuote": "pQTL in blood proteomics with effect 0.55 (SE 0.21)"
      },
      {
        "EvidenceItemId": "ev-d-1",
        "EvidenceLabel": "ev-d-1",
        "CausalMechanism": "cm-d",
        "OmicsAssay": "assay-d-rna",
        "EffectSize": 0.88,
        "StandardError": 0.205,
        "IsCrossModality": false,
        "IsNegativeControlArm": false,
        "IsAdjustedForAncestryPCs": true,
        "IsAdjustedForBatch": true,
        "IsSyntheticLeaf": true,
        "RepresentsAssayModality": "cis-eQTL, blood RNA-seq",
        "IdentificationAssumption": "colocalization PP4&gt;0.8; no horizontal pleiotropy on the eQTL instrument",
        "Name": "ev-d-1",
        "ParentPath": "/intake/new-patient/santos-diego/mechanisms/cm-d",
        "RelativePath": "/intake/new-patient/santos-diego/mechanisms/cm-d/evidence/ev-d-1",
        "AssayIsHighQuality": true,
        "ZStat": 4.2926829268292686,
        "IsConfoundControlled": true,
        "IsQualifiedEvidence": true,
        "SourceQuote": "cis-eQTL in blood RNA-seq with effect 0.88 (SE 0.20)"
      },
      {
        "EvidenceItemId": "ev-d-2",
        "EvidenceLabel": "ev-d-2",
        "CausalMechanism": "cm-d",
        "OmicsAssay": "assay-d-atac",
        "EffectSize": 0.95,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"ev-d-2",
        "ParentPath": "/intake/new-patient/santos-diego/mechanisms/cm-d",
        "RelativePath": "/intake/new-patient/santos-diego/mechanisms/cm-d/evidence/ev-d-2",
        "AssayIsHighQuality": true,
        "ZStat": 4.523809523809524,
        "IsConfoundControlled": true,
        "IsQualifiedEvidence": true,
        "SourceQuote": "caQTL in blood ATAC-seq with effect 0.95 (SE 0.21)"
      },
      {
        "EvidenceItemId": "ev-d-3",
        "EvidenceLabel": "ev-d-3",
        "CausalMechanism": "cm-d",
        "OmicsAssay": "assay-d-prot",
        "EffectSize": 0.62,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"ev-d-3",
        "ParentPath": "/intake/new-patient/santos-diego/mechanisms/cm-d",
        "RelativePath": "/intake/new-patient/santos-diego/mechanisms/cm-d/evidence/ev-d-3",
        "AssayIsHighQuality": true,
        "ZStat": 3.024390243902439,
        "IsConfoundControlled": true,
        "IsQualifiedEvidence": true,
        "SourceQuote": "pQTL in blood proteomics with effect 0.62 (SE 0.20)"
      },
      {
        "EvidenceItemId": "ev-e-1",
        "EvidenceLabel": "ev-e-1",
        "CausalMechanism": "cm-e",
        "OmicsAssay": "assay-e-rna",
        "EffectSize": 0.79,
        "StandardError": 0.21,
        "IsCrossModality": false,
        "IsNegativeControlArm": false,
        "IsAdjustedForAncestryPCs": true,
        "IsAdjustedForBatch": true,
        "IsSyntheticLeaf": true,
        "RepresentsAssayModality": "cis-eQTL, blood RNA-seq",
        "IdentificationAssumption": "colocalization PP4&gt;0.8; no horizontal pleiotropy on the eQTL instrument",
        "Name": "ev-e-1",
        "ParentPath": "/intake/new-patient/mensah-esi/mechanisms/cm-e",
        "RelativePath": "/intake/new-patient/mensah-esi/mechanisms/cm-e/evidence/ev-e-1",
        "AssayIsHighQuality": true,
        "ZStat": 3.761904761904762,
        "IsConfoundControlled": true,
        "IsQualifiedEvidence": true,
        "SourceQuote": "cis-eQTL in blood RNA-seq with effect 0.79 (SE 0.21)"
      },
      {
        "EvidenceItemId": "ev-e-2",
        "EvidenceLabel": "ev-e-2",
        "CausalMechanism": "cm-e",
        "OmicsAssay": "assay-e-atac",
        "EffectSize": 0.71,
        "StandardError": 0.205,
        "IsCrossModality": true,
        "IsNegativeControlArm": false,
        "IsAdjustedForAncestryPCs": true,
        "IsAdjustedForBatch": true,
        "IsSyntheticLeaf": true,
        "RepresentsAssayModality": "caQTL, blood ATAC-seq",
        "IdentificationAssumption": "open-chromatin peak maps to the credible set; cell-state confounding adjusted",
        "Name": "ev-e-2",
        "ParentPath": "/intake/new-patient/mensah-esi/mechanisms/cm-e",
        "RelativePath": "/intake/new-patient/mensah-esi/mechanisms/cm-e/evidence/ev-e-2",
        "AssayIsHighQuality": true,
        "ZStat": 3.4634146341463414,
        "IsConfoundControlled": true,
        "IsQualifiedEvidence": true,
        "SourceQuote": "caQTL in blood ATAC-seq with effect 0.71 (SE 0.20)"
      },
      {
        "EvidenceItemId": "ev-e-3",
        "EvidenceLabel": "ev-e-3",
        "CausalMechanism": "cm-e",
        "OmicsAssay": "assay-e-prot",
        "EffectSize": 0.41,
        "StandardError": 0.2,
        "IsCrossModality": true,
        "IsNegativeControlArm": false,
        "IsAdjustedForAncestryPCs": true,
        "IsAdjustedForBatch": true,
        "IsSyntheticLeaf": true,
        "RepresentsAssayModality": "pQTL, blood mass-spec proteomics",
        "IdentificationAssumption": "cis-pQTL within 1Mb; aptamer/epitope-binding artifact excluded",
        "Name": "ev-e-3",
        "ParentPath": "/intake/new-patient/mensah-esi/mechanisms/cm-e",
        "RelativePath": "/intake/new-patient/mensah-esi/mechanisms/cm-e/evidence/ev-e-3",
        "AssayIsHighQuality": true,
        "ZStat": 2.05,
        "IsConfoundControlled": true,
        "IsQualifiedEvidence": true,
        "SourceQuote": "pQTL in blood proteomics with effect 0.41 (SE 0.20)"
      },
      {
        "EvidenceItemId": "ev-f-1",
        "EvidenceLabel": "ev-f-1",
        "CausalMechanism": "cm-f",
        "OmicsAssay": "assay-f-rna",
        "EffectSize": 1.07,
        "StandardError": 0.205,
        "IsCrossModality": false,
        "IsNegativeControlArm": false,
        "IsAdjustedForAncestryPCs": true,
        "IsAdjustedForBatch": true,
        "IsSyntheticLeaf": true,
        "RepresentsAssayModality": "cis-eQTL, blood RNA-seq",
        "IdentificationAssumption": "colocalization PP4&gt;0.8; no horizontal pleiotropy on the eQTL instrument",
        "Name": "ev-f-1",
        "ParentPath": "/intake/new-patient/haidar-faisal/mechanisms/cm-f",
        "RelativePath": "/intake/new-patient/haidar-faisal/mechanisms/cm-f/evidence/ev-f-1",
        "AssayIsHighQuality": true,
        "ZStat": 5.219512195121951,
        "IsConfoundControlled": true,
        "IsQualifiedEvidence": true,
        "SourceQuote": "cis-eQTL in blood RNA-seq with effect 1.07 (SE 0.20)"
      },
      {
        "EvidenceItemId": "ev-f-2",
        "EvidenceLabel": "ev-f-2",
        "CausalMechanism": "cm-f",
        "OmicsAssay": "assay-f-atac",
        "EffectSize": 0.83,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"ev-f-2",
        "ParentPath": "/intake/new-patient/haidar-faisal/mechanisms/cm-f",
        "RelativePath": "/intake/new-patient/haidar-faisal/mechanisms/cm-f/evidence/ev-f-2",
        "AssayIsHighQuality": true,
        "ZStat": 3.9523809523809526,
        "IsConfoundControlled": true,
        "IsQualifiedEvidence": true,
        "SourceQuote": "caQTL in blood ATAC-seq with effect 0.83 (SE 0.21)"
      },
      {
        "EvidenceItemId": "ev-f-3",
        "EvidenceLabel": "ev-f-3",
        "CausalMechanism": "cm-f",
        "OmicsAssay": "assay-f-prot",
        "EffectSize": 0.74,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"ev-f-3",
        "ParentPath": "/intake/new-patient/haidar-faisal/mechanisms/cm-f",
        "RelativePath": "/intake/new-patient/haidar-faisal/mechanisms/cm-f/evidence/ev-f-3",
        "AssayIsHighQuality": true,
        "ZStat": 3.6097560975609757,
        "IsConfoundControlled": true,
        "IsQualifiedEvidence": true,
        "SourceQuote": "pQTL in blood proteomics with effect 0.74 (SE 0.20)"
      },
      {
        "EvidenceItemId": "ev-g-1",
        "EvidenceLabel": "ev-g-1",
        "CausalMechanism": "cm-g",
        "OmicsAssay": "assay-g-rna",
        "EffectSize": 0.96,
        "StandardError": 0.2,
        "IsCrossModality": false,
        "IsNegativeControlArm": false,
        "IsAdjustedForAncestryPCs": true,
        "IsAdjustedForBatch": true,
        "IsSyntheticLeaf": true,
        "RepresentsAssayModality": "cis-eQTL, blood RNA-seq",
        "IdentificationAssumption": "colocalization PP4&gt;0.8; no horizontal pleiotropy on the eQTL instrument",
        "Name": "ev-g-1",
        "ParentPath": "/intake/new-patient/lin-grace/mechanisms/cm-g",
        "RelativePath": "/intake/new-patient/lin-grace/mechanisms/cm-g/evidence/ev-g-1",
        "AssayIsHighQuality": true,
        "ZStat": 4.8,
        "IsConfoundControlled": true,
        "IsQualifiedEvidence": true,
        "SourceQuote": "cis-eQTL in blood RNA-seq with effect 0.96 (SE 0.20)"
      },
      {
        "EvidenceItemId": "ev-g-2",
        "EvidenceLabel": "ev-g-2",
        "CausalMechanism": "cm-g",
        "OmicsAssay": "assay-g-atac",
        "EffectSize": 0.88,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"ev-g-2",
        "ParentPath": "/intake/new-patient/lin-grace/mechanisms/cm-g",
        "RelativePath": "/intake/new-patient/lin-grace/mechanisms/cm-g/evidence/ev-g-2",
        "AssayIsHighQuality": true,
        "ZStat": 4.190476190476191,
        "IsConfoundControlled": true,
        "IsQualifiedEvidence": true,
        "SourceQuote": "caQTL in blood ATAC-seq with effect 0.88 (SE 0.21)"
      },
      {
        "EvidenceItemId": "ev-g-3",
        "EvidenceLabel": "ev-g-3",
        "CausalMechanism": "cm-g",
        "OmicsAssay": "assay-g-prot",
        "EffectSize": 0.69,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"ev-g-3",
        "ParentPath": "/intake/new-patient/lin-grace/mechanisms/cm-g",
        "RelativePath": "/intake/new-patient/lin-grace/mechanisms/cm-g/evidence/ev-g-3",
        "AssayIsHighQuality": true,
        "ZStat": 3.3658536585365852,
        "IsConfoundControlled": true,
        "IsQualifiedEvidence": true,
        "SourceQuote": "pQTL in blood proteomics with effect 0.69 (SE 0.20)"
      },
      {
        "EvidenceItemId": "ev-h-1",
        "EvidenceLabel": "ev-h-1",
        "CausalMechanism": "cm-h",
        "OmicsAssay": "assay-h-rna",
        "EffectSize": 0.91,
        "StandardError": 0.2,
        "IsCrossModality": false,
        "IsNegativeControlArm": false,
        "IsAdjustedForAncestryPCs": true,
        "IsAdjustedForBatch": true,
        "IsSyntheticLeaf": true,
        "RepresentsAssayModality": "cis-eQTL, blood RNA-seq",
        "IdentificationAssumption": "colocalization PP4&gt;0.8; no horizontal pleiotropy on the eQTL instrument",
        "Name": "ev-h-1",
        "ParentPath": "/intake/new-patient/yamamoto-hana/mechanisms/cm-h",
        "RelativePath": "/intake/new-patient/yamamoto-hana/mechanisms/cm-h/evidence/ev-h-1",
        "AssayIsHighQuality": true,
        "ZStat": 4.55,
        "IsConfoundControlled": true,
        "IsQualifiedEvidence": true,
        "SourceQuote": "cis-eQTL in blood RNA-seq with effect 0.91 (SE 0.20)",
        "CreatedBy": "v2-step10",
        "CreatedAt": "2026-06-20T00:00:00Z",
        "ModifiedBy": "v2-step10",
        "ModifiedAt": "2026-06-20T00:00:00Z",
        "ModifiedByModel": "claude-opus-4-8"
      },
      {
        "EvidenceItemId": "ev-h-2",
        "EvidenceLabel": "ev-h-2",
        "CausalMechanism": "cm-h",
        "OmicsAssay": "assay-h-atac",
        "EffectSize": 0.73,
        "StandardError": 0.19,
        "IsCrossModality": true,
        "IsNegativeControlArm": false,
        "IsAdjustedForAncestryPCs": true,
        "IsAdjustedForBatch": true,
        "IsSyntheticLeaf": true,
        "RepresentsAssayModality": "caQTL, blood ATAC-seq",
        "IdentificationAssumption": "open-chromatin peak maps to the credible set; cell-state confounding adjusted",
        "Name": "ev-h-2",
        "ParentPath": "/intake/new-patient/yamamoto-hana/mechanisms/cm-h",
        "RelativePath": "/intake/new-patient/yamamoto-hana/mechanisms/cm-h/evidence/ev-h-2",
        "AssayIsHighQuality": true,
        "ZStat": 3.8421052631578947,
        "IsConfoundControlled": true,
        "IsQualifiedEvidence": true,
        "SourceQuote": "caQTL in blood ATAC-seq with effect 0.73 (SE 0.19)",
        "CreatedBy": "v2-step10",
        "CreatedAt": "2026-06-20T00:00:00Z",
        "ModifiedBy": "v2-step10",
        "ModifiedAt": "2026-06-20T00:00:00Z",
        "ModifiedByModel": "claude-opus-4-8"
      },
      {
        "EvidenceItemId": "ev-h-3",
        "EvidenceLabel": "ev-h-3",
        "CausalMechanism": "cm-h",
        "OmicsAssay": "assay-h-prot",
        "EffectSize": 0.66,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"ev-h-3",
        "ParentPath": "/intake/new-patient/yamamoto-hana/mechanisms/cm-h",
        "RelativePath": "/intake/new-patient/yamamoto-hana/mechanisms/cm-h/evidence/ev-h-3",
        "AssayIsHighQuality": true,
        "ZStat": 3.2195121951219514,
        "IsConfoundControlled": true,
        "IsQualifiedEvidence": true,
        "SourceQuote": "pQTL in blood proteomics with effect 0.66 (SE 0.20)",
        "CreatedBy": "v2-step10",
        "CreatedAt": "2026-06-20T00:00:00Z",
        "ModifiedBy": "v2-step10",
        "ModifiedAt": "2026-06-20T00:00:00Z",
        "ModifiedByModel": "claude-opus-4-8"
      },
      {
        "EvidenceItemId": "ev-i-1",
        "EvidenceLabel": "ev-i-1",
        "CausalMechanism": "cm-i",
        "OmicsAssay": "assay-i-rna",
        "EffectSize": 0.88,
        "StandardError": 0.205,
        "IsCrossModality": false,
        "IsNegativeControlArm": false,
        "IsAdjustedForAncestryPCs": true,
        "IsAdjustedForBatch": true,
        "IsSyntheticLeaf": true,
        "RepresentsAssayModality": "cis-eQTL, blood RNA-seq",
        "IdentificationAssumption": "colocalization PP4&gt;0.8; no horizontal pleiotropy on the eQTL instrument",
        "Name": "ev-i-1",
        "ParentPath": "/intake/new-patient/conteh-ibrahim/mechanisms/cm-i",
        "RelativePath": "/intake/new-patient/conteh-ibrahim/mechanisms/cm-i/evidence/ev-i-1",
        "AssayIsHighQuality": true,
        "ZStat": 4.2926829268292686,
        "IsConfoundControlled": true,
        "IsQualifiedEvidence": true,
        "SourceQuote": "cis-eQTL in blood RNA-seq with effect 0.88 (SE 0.20)",
        "CreatedBy": "v2-step10",
        "CreatedAt": "2026-06-20T00:00:00Z",
        "ModifiedBy": "v2-step10",
        "ModifiedAt": "2026-06-20T00:00:00Z",
        "ModifiedByModel": "claude-opus-4-8"
      },
      {
        "EvidenceItemId": "ev-i-2",
        "EvidenceLabel": "ev-i-2",
        "CausalMechanism": "cm-i",
        "OmicsAssay": "assay-i-atac",
        "EffectSize": 0.95,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"ev-i-2",
        "ParentPath": "/intake/new-patient/conteh-ibrahim/mechanisms/cm-i",
        "RelativePath": "/intake/new-patient/conteh-ibrahim/mechanisms/cm-i/evidence/ev-i-2",
        "AssayIsHighQuality": true,
        "ZStat": 4.523809523809524,
        "IsConfoundControlled": true,
        "IsQualifiedEvidence": true,
        "SourceQuote": "caQTL in blood ATAC-seq with effect 0.95 (SE 0.21)",
        "CreatedBy": "v2-step10",
        "CreatedAt": "2026-06-20T00:00:00Z",
        "ModifiedBy": "v2-step10",
        "ModifiedAt": "2026-06-20T00:00:00Z",
        "ModifiedByModel": "claude-opus-4-8"
      },
      {
        "EvidenceItemId": "ev-i-3",
        "EvidenceLabel": "ev-i-3",
        "CausalMechanism": "cm-i",
        "OmicsAssay": "assay-i-prot",
        "EffectSize": 0.62,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"ev-i-3",
        "ParentPath": "/intake/new-patient/conteh-ibrahim/mechanisms/cm-i",
        "RelativePath": "/intake/new-patient/conteh-ibrahim/mechanisms/cm-i/evidence/ev-i-3",
        "AssayIsHighQuality": true,
        "ZStat": 3.024390243902439,
        "IsConfoundControlled": true,
        "IsQualifiedEvidence": true,
        "SourceQuote": "pQTL in blood proteomics with effect 0.62 (SE 0.20)",
        "CreatedBy": "v2-step10",
        "CreatedAt": "2026-06-20T00:00:00Z",
        "ModifiedBy": "v2-step10",
        "ModifiedAt": "2026-06-20T00:00:00Z",
        "ModifiedByModel": "claude-opus-4-8"
      },
      {
        "EvidenceItemId": "ev-j-1",
        "EvidenceLabel": "ev-j-1",
        "CausalMechanism": "cm-j",
        "OmicsAssay": "assay-j-rna",
        "EffectSize": 0.84,
        "StandardError": 0.21,
        "IsCrossModality": false,
        "IsNegativeControlArm": false,
        "IsAdjustedForAncestryPCs": true,
        "IsAdjustedForBatch": true,
        "IsSyntheticLeaf": true,
        "RepresentsAssayModality": "cis-eQTL, blood RNA-seq",
        "IdentificationAssumption": "colocalization PP4&gt;0.8; no horizontal pleiotropy on the eQTL instrument",
        "Name": "ev-j-1",
        "ParentPath": "/intake/new-patient/brooks-jamal/mechanisms/cm-j",
        "RelativePath": "/intake/new-patient/brooks-jamal/mechanisms/cm-j/evidence/ev-j-1",
        "AssayIsHighQuality": true,
        "ZStat": 4,
        "IsConfoundControlled": true,
        "IsQualifiedEvidence": true,
        "SourceQuote": "cis-eQTL in blood RNA-seq with effect 0.84 (SE 0.21)",
        "CreatedBy": "v2-step10",
        "CreatedAt": "2026-06-20T00:00:00Z",
        "ModifiedBy": "v2-step10",
        "ModifiedAt": "2026-06-20T00:00:00Z",
        "ModifiedByModel": "claude-opus-4-8"
      },
      {
        "EvidenceItemId": "ev-j-2",
        "EvidenceLabel": "ev-j-2",
        "CausalMechanism": "cm-j",
        "OmicsAssay": "assay-j-atac",
        "EffectSize": 0.79,
        "StandardError": 0.205,
        "IsCrossModality": true,
        "IsNegativeControlArm": false,
        "IsAdjustedForAncestryPCs": true,
        "IsAdjustedForBatch": true,
        "IsSyntheticLeaf": true,
        "RepresentsAssayModality": "caQTL, blood ATAC-seq",
        "IdentificationAssumption": "open-chromatin peak maps to the credible set; cell-state confounding adjusted",
        "Name": "ev-j-2",
        "ParentPath": "/intake/new-patient/brooks-jamal/mechanisms/cm-j",
        "RelativePath": "/intake/new-patient/brooks-jamal/mechanisms/cm-j/evidence/ev-j-2",
        "AssayIsHighQuality": true,
        "ZStat": 3.8536585365853657,
        "IsConfoundControlled": true,
        "IsQualifiedEvidence": true,
        "SourceQuote": "caQTL in blood ATAC-seq with effect 0.79 (SE 0.20)",
        "CreatedBy": "v2-step10",
        "CreatedAt": "2026-06-20T00:00:00Z",
        "ModifiedBy": "v2-step10",
        "ModifiedAt": "2026-06-20T00:00:00Z",
        "ModifiedByModel": "claude-opus-4-8"
      },
      {
        "EvidenceItemId": "ev-j-3",
        "EvidenceLabel": "ev-j-3",
        "CausalMechanism": "cm-j",
        "OmicsAssay": "assay-j-prot",
        "EffectSize": 0.58,
        "StandardError": 0.205,
        "IsCrossModality": true,
        "IsNegativeControlArm": false,
        "IsAdjustedForAncestryPCs": true,
        "IsAdjustedForBatch": true,
     </t>
  </si>
  <si>
    <t xml:space="preserve">   "IsSyntheticLeaf": true,
        "RepresentsAssayModality": "pQTL, blood mass-spec proteomics",
        "IdentificationAssumption": "cis-pQTL within 1Mb; aptamer/epitope-binding artifact excluded",
        "Name": "ev-j-3",
        "ParentPath": "/intake/new-patient/brooks-jamal/mechanisms/cm-j",
        "RelativePath": "/intake/new-patient/brooks-jamal/mechanisms/cm-j/evidence/ev-j-3",
        "AssayIsHighQuality": true,
        "ZStat": 2.8292682926829267,
        "IsConfoundControlled": true,
        "IsQualifiedEvidence": true,
        "SourceQuote": "pQTL in blood proteomics with effect 0.58 (SE 0.20)",
        "CreatedBy": "v2-step10",
        "CreatedAt": "2026-06-20T00:00:00Z",
        "ModifiedBy": "v2-step10",
        "ModifiedAt": "2026-06-20T00:00:00Z",
        "ModifiedByModel": "claude-opus-4-8"
      },
      {
        "EvidenceItemId": "ev-k-1",
        "EvidenceLabel": "ev-k-1",
        "CausalMechanism": "cm-k",
        "OmicsAssay": "assay-k-rna",
        "EffectSize": 1.07,
        "StandardError": 0.205,
        "IsCrossModality": false,
        "IsNegativeControlArm": false,
        "IsAdjustedForAncestryPCs": true,
        "IsAdjustedForBatch": true,
        "IsSyntheticLeaf": true,
        "RepresentsAssayModality": "cis-eQTL, blood RNA-seq",
        "IdentificationAssumption": "colocalization PP4&gt;0.8; no horizontal pleiotropy on the eQTL instrument",
        "Name": "ev-k-1",
        "ParentPath": "/intake/new-patient/nair-kavya/mechanisms/cm-k",
        "RelativePath": "/intake/new-patient/nair-kavya/mechanisms/cm-k/evidence/ev-k-1",
        "AssayIsHighQuality": true,
        "ZStat": 5.219512195121951,
        "IsConfoundControlled": true,
        "IsQualifiedEvidence": true,
        "SourceQuote": "cis-eQTL in blood RNA-seq with effect 1.07 (SE 0.20)",
        "CreatedBy": "v2-step10",
        "CreatedAt": "2026-06-20T00:00:00Z",
        "ModifiedBy": "v2-step10",
        "ModifiedAt": "2026-06-20T00:00:00Z",
        "ModifiedByModel": "claude-opus-4-8"
      },
      {
        "EvidenceItemId": "ev-k-2",
        "EvidenceLabel": "ev-k-2",
        "CausalMechanism": "cm-k",
        "OmicsAssay": "assay-k-atac",
        "EffectSize": 0.83,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"ev-k-2",
        "ParentPath": "/intake/new-patient/nair-kavya/mechanisms/cm-k",
        "RelativePath": "/intake/new-patient/nair-kavya/mechanisms/cm-k/evidence/ev-k-2",
        "AssayIsHighQuality": true,
        "ZStat": 3.9523809523809526,
        "IsConfoundControlled": true,
        "IsQualifiedEvidence": true,
        "SourceQuote": "caQTL in blood ATAC-seq with effect 0.83 (SE 0.21)",
        "CreatedBy": "v2-step10",
        "CreatedAt": "2026-06-20T00:00:00Z",
        "ModifiedBy": "v2-step10",
        "ModifiedAt": "2026-06-20T00:00:00Z",
        "ModifiedByModel": "claude-opus-4-8"
      },
      {
        "EvidenceItemId": "ev-k-3",
        "EvidenceLabel": "ev-k-3",
        "CausalMechanism": "cm-k",
        "OmicsAssay": "assay-k-prot",
        "EffectSize": 0.74,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"ev-k-3",
        "ParentPath": "/intake/new-patient/nair-kavya/mechanisms/cm-k",
        "RelativePath": "/intake/new-patient/nair-kavya/mechanisms/cm-k/evidence/ev-k-3",
        "AssayIsHighQuality": true,
        "ZStat": 3.6097560975609757,
        "IsConfoundControlled": true,
        "IsQualifiedEvidence": true,
        "SourceQuote": "pQTL in blood proteomics with effect 0.74 (SE 0.20)",
        "CreatedBy": "v2-step10",
        "CreatedAt": "2026-06-20T00:00:00Z",
        "ModifiedBy": "v2-step10",
        "ModifiedAt": "2026-06-20T00:00:00Z",
        "ModifiedByModel": "claude-opus-4-8"
      },
      {
        "EvidenceItemId": "ev-l-1",
        "EvidenceLabel": "ev-l-1",
        "CausalMechanism": "cm-l",
        "OmicsAssay": "assay-l-rna",
        "EffectSize": 0.96,
        "StandardError": 0.2,
        "IsCrossModality": false,
        "IsNegativeControlArm": false,
        "IsAdjustedForAncestryPCs": true,
        "IsAdjustedForBatch": true,
        "IsSyntheticLeaf": true,
        "RepresentsAssayModality": "cis-eQTL, blood RNA-seq",
        "IdentificationAssumption": "colocalization PP4&gt;0.8; no horizontal pleiotropy on the eQTL instrument",
        "Name": "ev-l-1",
        "ParentPath": "/intake/new-patient/brandt-lena/mechanisms/cm-l",
        "RelativePath": "/intake/new-patient/brandt-lena/mechanisms/cm-l/evidence/ev-l-1",
        "AssayIsHighQuality": true,
        "ZStat": 4.8,
        "IsConfoundControlled": true,
        "IsQualifiedEvidence": true,
        "SourceQuote": "cis-eQTL in blood RNA-seq with effect 0.96 (SE 0.20)",
        "CreatedBy": "v2-step10",
        "CreatedAt": "2026-06-20T00:00:00Z",
        "ModifiedBy": "v2-step10",
        "ModifiedAt": "2026-06-20T00:00:00Z",
        "ModifiedByModel": "claude-opus-4-8"
      },
      {
        "EvidenceItemId": "ev-l-2",
        "EvidenceLabel": "ev-l-2",
        "CausalMechanism": "cm-l",
        "OmicsAssay": "assay-l-atac",
        "EffectSize": 0.88,
        "StandardError": 0.21,
        "IsCrossModality": true,
        "IsNegativeControlArm": false,
        "IsAdjustedForAncestryPCs": true,
        "IsAdjustedForBatch": true,
        "IsSyntheticLeaf": true,
        "RepresentsAssayModality": "caQTL, blood ATAC-seq",
        "IdentificationAssumption": "open-chromatin peak maps to the credible set; cell-state confounding adjusted",
        "Name": "ev-l-2",
        "ParentPath": "/intake/new-patient/brandt-lena/mechanisms/cm-l",
        "RelativePath": "/intake/new-patient/brandt-lena/mechanisms/cm-l/evidence/ev-l-2",
        "AssayIsHighQuality": true,
        "ZStat": 4.190476190476191,
        "IsConfoundControlled": true,
        "IsQualifiedEvidence": true,
        "SourceQuote": "caQTL in blood ATAC-seq with effect 0.88 (SE 0.21)",
        "CreatedBy": "v2-step10",
        "CreatedAt": "2026-06-20T00:00:00Z",
        "ModifiedBy": "v2-step10",
        "ModifiedAt": "2026-06-20T00:00:00Z",
        "ModifiedByModel": "claude-opus-4-8"
      },
      {
        "EvidenceItemId": "ev-l-3",
        "EvidenceLabel": "ev-l-3",
        "CausalMechanism": "cm-l",
        "OmicsAssay": "assay-l-prot",
        "EffectSize": 0.69,
        "StandardError": 0.205,
        "IsCrossModality": true,
        "IsNegativeControlArm": false,
        "IsAdjustedForAncestryPCs": true,
        "IsAdjustedForBatch": true,
        "IsSyntheticLeaf": true,
        "RepresentsAssayModality": "pQTL, blood mass-spec proteomics",
        "IdentificationAssumption": "cis-pQTL within 1Mb; aptamer/epitope-binding artifact excluded",
        "Name": "ev-l-3",
        "ParentPath": "/intake/new-patient/brandt-lena/mechanisms/cm-l",
        "RelativePath": "/intake/new-patient/brandt-lena/mechanisms/cm-l/evidence/ev-l-3",
        "AssayIsHighQuality": true,
        "ZStat": 3.3658536585365852,
        "IsConfoundControlled": true,
        "IsQualifiedEvidence": true,
        "SourceQuote": "pQTL in blood proteomics with effect 0.69 (SE 0.20)",
        "CreatedBy": "v2-step10",
        "CreatedAt": "2026-06-20T00:00:00Z",
        "ModifiedBy": "v2-step10",
        "ModifiedAt": "2026-06-20T00:00:00Z",
        "ModifiedByModel": "claude-opus-4-8"
      }
    ]
  },
  "CohortReplications": {
    "Description": "One re-test of a causal mechanism in another federated cohort. Replication and cross-ancestry transport are aggregations over these rows.",
    "schema": [
      {
        "name": "CohortReplicationId",
        "datatype": "string",
        "type": "raw",
        "nullable": false,
        "Description": "Stable id for this replication attempt."
      },
      {
        "name": "ReplicationLabel",
        "datatype": "string",
        "type": "raw",
        "nullable": false,
        "Description": "Human label."
      },
      {
        "name": "CausalMechanism",
        "datatype": "string",
        "type": "raw",
        "nullable": false,
        "Description": "FK to the mechanism being re-tested.",
        "RelatedTo": "CausalMechanisms"
      },
      {
        "name": "FederatedDataset",
        "datatype": "string",
        "type": "raw",
        "nullable": false,
        "Description": "FK to the cohort node the re-test ran in.",
        "RelatedTo": "FederatedDatasets"
      },
      {
        "name": "ReplicationEffectSign",
        "datatype": "integer",
        "type": "raw",
        "nullable": false,
        "Description": "OBSERVATION: sign of the re-estimated effect (+1 / -1 / 0)."
      },
      {
        "name": "ReplicationPValue",
        "datatype": "number",
        "type": "raw",
        "nullable": false,
        "Description": "OBSERVATION: p-value of the re-test."
      },
      {
        "name": "ReplicationAncestryLabel",
        "datatype": "string",
        "type": "raw",
        "nullable": false,
        "Description": "OBSERVATION: ancestry of the cohort the re-test ran in."
      },
      {
        "name": "Name",
        "datatype": "string",
        "type": "calculated",
        "nullable": false,
        "Description": "Display name.",
        "formula": "={{ReplicationLabel}}"
      },
      {
        "name": "ParentPath",
        "datatype": "string",
        "type": "lookup",
        "nullable": true,
        "Description": "Lookup: CausalMechanisms.RelativePath via CausalMechanism —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CohortReplication page, chained under its CausalMechanism parent.",
        "formula": "={{ParentPath}} &amp; \"/replications/\" &amp; {{CohortReplicationId}}"
      },
      {
        "name": "ReplicatedAtNominalSig",
        "datatype": "boolean",
        "type": "calculated",
        "nullable": true,
        "Description": "Derived: reproduced the predicted (positive) sign at nominal significance.",
        "formula": "=IF(AND({{ReplicationPValue}} &lt;= 0.05, {{ReplicationEffectSign}} = 1), TRUE(), FALSE())"
      },
      {
        "name": "MechanismPrimaryAncestry",
        "datatype": "string",
        "type": "lookup",
        "nullable": true,
        "Description": "Ancestry of the individual the mechanism was discovered in.",
        "formula": "=INDEX(CausalMechanisms!{{IndividualAncestryLabel}}, MATCH({{CausalMechanism}}, CausalMechanisms!{{CausalMechanismId}}, 0))"
      },
      {
        "name": "IsDifferentAncestryReplication",
        "datatype": "boolean",
        "type": "calculated",
        "nullable": true,
        "Description": "Derived: the re-test ran in a different ancestry than discovery.",
        "formula": "=IF({{ReplicationAncestryLabel}} = {{MechanismPrimaryAncestry}}, FALSE(), TRUE())"
      },
      {
        "name": "IsCrossAncestryConcordant",
        "datatype": "boolean",
        "type": "calculated",
        "nullable": true,
        "Description": "Derived: replicated at significance AND in a different ancestry (the transportability atom).",
        "formula": "=IF(AND({{ReplicatedAtNominalSig}}, {{IsDifferentAncestryReplication}}), TRUE(), FALSE())"
      },
      {
        "name": "SourceQuote",
        "datatype": "string",
        "type": "raw",
        "nullable": true,
        "Description": "PANEL 2-&gt;1 provenance pointer (raw leaf, read by nothing downstream): the literal span of the patient's CaseNarrative from which this replication's raw value was extracted. A human verifies the EXTRACTION was faithful here, separately from trusting the derived diagnosis — which is exactly what defeats 'a hallucination laundered through a deterministic function'."
      }
    ],
    "data": [
      {
        "CohortReplicationId": "rep-a-1",
        "ReplicationLabel": "rep-a-1",
        "CausalMechanism": "cm-a",
        "FederatedDataset": "fed-east-asia",
        "ReplicationEffectSign": 1,
        "ReplicationPValue": 0.004,
        "ReplicationAncestryLabel": "East Asian",
        "Name": "rep-a-1",
        "ParentPath": "/intake/new-patient/reyes-ana/mechanisms/cm-a",
        "RelativePath": "/intake/new-patient/reyes-ana/mechanisms/cm-a/replications/rep-a-1",
        "ReplicatedAtNominalSig": true,
        "MechanismPrimaryAncestry": "European",
        "IsDifferentAncestryReplication": true,
        "IsCrossAncestryConcordant": true,
        "SourceQuote": "positive effect sign in an East Asian cohort (p=0.004)"
      },
      {
        "CohortReplicationId": "rep-a-2",
        "ReplicationLabel": "rep-a-2",
        "CausalMechanism": "cm-a",
        "FederatedDataset": "fed-west-africa",
        "ReplicationEffectSign": 1,
        "ReplicationPValue": 0.013,
        "ReplicationAncestryLabel": "African",
        "Name": "rep-a-2",
        "ParentPath": "/intake/new-patient/reyes-ana/mechanisms/cm-a",
        "RelativePath": "/intake/new-patient/reyes-ana/mechanisms/cm-a/replications/rep-a-2",
        "ReplicatedAtNominalSig": true,
        "MechanismPrimaryAncestry": "European",
        "IsDifferentAncestryReplication": true,
        "IsCrossAncestryConcordant": true,
        "SourceQuote": "in an African cohort (p=0.013)"
      },
      {
        "CohortReplicationId": "rep-a-3",
        "ReplicationLabel": "rep-a-3",
        "CausalMechanism": "cm-a",
        "FederatedDataset": "fed-europe",
        "ReplicationEffectSign": 1,
        "ReplicationPValue": 0.18,
        "ReplicationAncestryLabel": "European",
        "Name": "rep-a-3",
        "ParentPath": "/intake/new-patient/reyes-ana/mechanisms/cm-a",
        "RelativePath": "/intake/new-patient/reyes-ana/mechanisms/cm-a/replications/rep-a-3",
        "ReplicatedAtNominalSig": false,
        "MechanismPrimaryAncestry": "European",
        "IsDifferentAncestryReplication": false,
        "IsCrossAncestryConcordant": false,
        "SourceQuote": "European replication is directionally consistent but not significant (p=0.18)"
      },
      {
        "CohortReplicationId": "rep-b-1",
        "ReplicationLabel": "rep-b-1",
        "CausalMechanism": "cm-b",
        "FederatedDataset": "fed-east-asia",
        "ReplicationEffectSign": 1,
        "ReplicationPValue": 0.006,
        "ReplicationAncestryLabel": "East Asian",
        "Name": "rep-b-1",
        "ParentPath": "/intake/new-patient/okafor-bili/mechanisms/cm-b",
        "RelativePath": "/intake/new-patient/okafor-bili/mechanisms/cm-b/replications/rep-b-1",
        "ReplicatedAtNominalSig": true,
        "MechanismPrimaryAncestry": "European",
        "IsDifferentAncestryReplication": true,
        "IsCrossAncestryConcordant": true,
        "SourceQuote": "replicates positive in an East Asian cohort (p=0.006)"
      },
      {
        "CohortReplicationId": "rep-b-2",
        "ReplicationLabel": "rep-b-2",
        "CausalMechanism": "cm-b",
        "FederatedDataset": "fed-west-africa",
        "ReplicationEffectSign": 1,
        "ReplicationPValue": 0.017,
        "ReplicationAncestryLabel": "African",
        "Name": "rep-b-2",
        "ParentPath": "/intake/new-patient/okafor-bili/mechanisms/cm-b",
        "RelativePath": "/intake/new-patient/okafor-bili/mechanisms/cm-b/replications/rep-b-2",
        "ReplicatedAtNominalSig": true,
        "MechanismPrimaryAncestry": "European",
        "IsDifferentAncestryReplication": true,
        "IsCrossAncestryConcordant": true,
        "SourceQuote": "an African cohort (p=0.017)"
      },
      {
        "CohortReplicationId": "rep-b-3",
        "ReplicationLabel": "rep-b-3",
        "CausalMechanism": "cm-b",
        "FederatedDataset": "fed-europe",
        "ReplicationEffectSign": 1,
        "ReplicationPValue": 0.22,
        "ReplicationAncestryLabel": "European",
        "Name": "rep-b-3",
        "ParentPath": "/intake/new-patient/okafor-bili/mechanisms/cm-b",
        "RelativePath": "/intake/new-patient/okafor-bili/mechanisms/cm-b/replications/rep-b-3",
        "ReplicatedAtNominalSig": false,
        "MechanismPrimaryAncestry": "European",
        "IsDifferentAncestryReplication": false,
        "IsCrossAncestryConcordant": false,
        "SourceQuote": "non-significant European replication (p=0.22)"
      },
      {
        "CohortReplicationId": "rep-c-1",
        "ReplicationLabel": "rep-c-1",
        "CausalMechanism": "cm-c",
        "FederatedDataset": "fed-east-asia",
        "ReplicationEffectSign": 1,
        "ReplicationPValue": 0.009,
        "ReplicationAncestryLabel": "East Asian",
        "Name": "rep-c-1",
        "ParentPath": "/intake/new-patient/wei-chen/mechanisms/cm-c",
        "RelativePath": "/intake/new-patient/wei-chen/mechanisms/cm-c/replications/rep-c-1",
        "ReplicatedAtNominalSig": true,
        "MechanismPrimaryAncestry": "East Asian",
        "IsDifferentAncestryReplication": false,
        "IsCrossAncestryConcordant": false,
        "SourceQuote": "positive in an East Asian cohort (p=0.009)"
      },
      {
        "CohortReplicationId": "rep-c-2",
        "ReplicationLabel": "rep-c-2",
        "CausalMechanism": "cm-c",
        "FederatedDataset": "fed-west-africa",
        "ReplicationEffectSign": -1,
        "ReplicationPValue": 0.024,
        "ReplicationAncestryLabel": "African",
        "Name": "rep-c-2",
        "ParentPath": "/intake/new-patient/wei-chen/mechanisms/cm-c",
        "RelativePath": "/intake/new-patient/wei-chen/mechanisms/cm-c/replications/rep-c-2",
        "ReplicatedAtNominalSig": false,
        "MechanismPrimaryAncestry": "East Asian",
        "IsDifferentAncestryReplication": true,
        "IsCrossAncestryConcordant": false,
        "SourceQuote": "SIGN FLIPS to negative in an African cohort (p=0.024)"
      },
      {
        "CohortReplicationId": "rep-c-3",
        "ReplicationLabel": "rep-c-3",
        "CausalMechanism": "cm-c",
        "FederatedDataset": "fed-europe",
        "ReplicationEffectSign": 1,
        "ReplicationPValue": 0.27,
        "ReplicationAncestryLabel": "European",
        "Name": "rep-c-3",
        "ParentPath": "/intake/new-patient/wei-chen/mechanisms/cm-c",
        "RelativePath": "/intake/new-patient/wei-chen/mechanisms/cm-c/replications/rep-c-3",
        "ReplicatedAtNominalSig": false,
        "MechanismPrimaryAncestry": "East Asian",
        "IsDifferentAncestryReplication": true,
        "IsCrossAncestryConcordant": false,
        "SourceQuote": "European replication is non-significant (p=0.27)"
      },
      {
        "CohortReplicationId": "rep-d-1",
        "ReplicationLabel": "rep-d-1",
        "CausalMechanism": "cm-d",
        "FederatedDataset": "fed-east-asia",
        "ReplicationEffectSign": 1,
        "ReplicationPValue": 0.003,
        "ReplicationAncestryLabel": "East Asian",
        "Name": "rep-d-1",
        "ParentPath": "/intake/new-patient/santos-diego/mechanisms/cm-d",
        "RelativePath": "/intake/new-patient/santos-diego/mechanisms/cm-d/replications/rep-d-1",
        "ReplicatedAtNominalSig": true,
        "MechanismPrimaryAncestry": "European",
        "IsDifferentAncestryReplication": true,
        "IsCrossAncestryConcordant": true,
        "SourceQuote": "replicates positive in an East Asian cohort (p=0.003)"
      },
      {
        "CohortReplicationId": "rep-d-2",
        "ReplicationLabel": "rep-d-2",
        "CausalMechanism": "cm-d",
        "FederatedDataset": "fed-west-africa",
        "ReplicationEffectSign": 1,
        "ReplicationPValue": 0.019,
        "ReplicationAncestryLabel": "African",
        "Name": "rep-d-2",
        "ParentPath": "/intake/new-patient/santos-diego/mechanisms/cm-d",
        "RelativePath": "/intake/new-patient/santos-diego/mechanisms/cm-d/replications/rep-d-2",
        "ReplicatedAtNominalSig": true,
        "MechanismPrimaryAncestry": "European",
        "IsDifferentAncestryReplication": true,
        "IsCrossAncestryConcordant": true,
        "SourceQuote": "an African cohort (p=0.019)"
      },
      {
        "CohortReplicationId": "rep-d-3",
        "ReplicationLabel": "rep-d-3",
        "CausalMechanism": "cm-d",
        "FederatedDataset": "fed-europe",
        "ReplicationEffectSign": 1,
        "ReplicationPValue": 0.16,
        "ReplicationAncestryLabel": "European",
        "Name": "rep-d-3",
        "ParentPath": "/intake/new-patient/santos-diego/mechanisms/cm-d",
        "RelativePath": "/intake/new-patient/santos-diego/mechanisms/cm-d/replications/rep-d-3",
        "ReplicatedAtNominalSig": false,
        "MechanismPrimaryAncestry": "European",
        "IsDifferentAncestryReplication": false,
        "IsCrossAncestryConcordant": false,
        "SourceQuote": "non-significant European replication (p=0.16)"
      },
      {
        "CohortReplicationId": "rep-e-1",
        "ReplicationLabel": "rep-e-1",
        "CausalMechanism": "cm-e",
        "FederatedDataset": "fed-east-asia",
        "ReplicationEffectSign": 1,
        "ReplicationPValue": 0.007,
        "ReplicationAncestryLabel": "East Asian",
        "Name": "rep-e-1",
        "ParentPath": "/intake/new-patient/mensah-esi/mechanisms/cm-e",
        "RelativePath": "/intake/new-patient/mensah-esi/mechanisms/cm-e/replications/rep-e-1",
        "ReplicatedAtNominalSig": true,
        "MechanismPrimaryAncestry": "African",
        "IsDifferentAncestryReplication": true,
        "IsCrossAncestryConcordant": true,
        "SourceQuote": "replicates positive in an East Asian cohort (p=0.007)"
      },
      {
        "CohortReplicationId": "rep-e-2",
        "ReplicationLabel": "rep-e-2",
        "CausalMechanism": "cm-e",
        "FederatedDataset": "fed-europe",
        "ReplicationEffectSign": 1,
        "ReplicationPValue": 0.021,
        "ReplicationAncestryLabel": "European",
        "Name": "rep-e-2",
        "ParentPath": "/intake/new-patient/mensah-esi/mechanisms/cm-e",
        "RelativePath": "/intake/new-patient/mensah-esi/mechanisms/cm-e/replications/rep-e-2",
        "ReplicatedAtNominalSig": true,
        "MechanismPrimaryAncestry": "African",
        "IsDifferentAncestryReplication": true,
        "IsCrossAncestryConcordant": true,
        "SourceQuote": "a European cohort (p=0.021)"
      },
      {
        "CohortReplicationId": "rep-e-3",
        "ReplicationLabel": "rep-e-3",
        "CausalMechanism": "cm-e",
        "FederatedDataset": "fed-west-africa",
        "ReplicationEffectSign": 1,
        "ReplicationPValue": 0.19,
        "ReplicationAncestryLabel": "African",
        "Name": "rep-e-3",
        "ParentPath": "/intake/new-patient/mensah-esi/mechanisms/cm-e",
        "RelativePath": "/intake/new-patient/mensah-esi/mechanisms/cm-e/replications/rep-e-3",
        "ReplicatedAtNominalSig": false,
        "MechanismPrimaryAncestry": "African",
        "IsDifferentAncestryReplication": false,
        "IsCrossAncestryConcordant": false,
        "SourceQuote": "non-significant African replication (p=0.19)"
      },
      {
        "CohortReplicationId": "rep-f-1",
        "ReplicationLabel": "rep-f-1",
        "CausalMechanism": "cm-f",
        "FederatedDataset": "fed-amazon",
        "ReplicationEffectSign": 1,
        "ReplicationPValue": 0.005,
        "ReplicationAncestryLabel": "Indigenous American",
        "Name": "rep-f-1",
        "ParentPath": "/intake/new-patient/haidar-faisal/mechanisms/cm-f",
        "RelativePath": "/intake/new-patient/haidar-faisal/mechanisms/cm-f/replications/rep-f-1",
        "ReplicatedAtNominalSig": true,
        "MechanismPrimaryAncestry": "Indigenous American",
        "IsDifferentAncestryReplication": false,
        "IsCrossAncestryConcordant": false,
        "SourceQuote": "run in an Indigenous American cohort: p=0.005"
      },
      {
        "CohortReplicationId": "rep-f-2",
        "ReplicationLabel": "rep-f-2",
        "CausalMechanism": "cm-f",
        "FederatedDataset": "fed-amazon",
        "ReplicationEffectSign": 1,
        "ReplicationPValue": 0.015,
        "ReplicationAncestryLabel": "Indigenous American",
        "Name": "rep-f-2",
        "ParentPath": "/intake/new-patient/haidar-faisal/mechanisms/cm-f",
        "RelativePath": "/intake/new-patient/haidar-faisal/mechanisms/cm-f/replications/rep-f-2",
        "ReplicatedAtNominalSig": true,
        "MechanismPrimaryAncestry": "Indigenous American",
        "IsDifferentAncestryReplication": false,
        "IsCrossAncestryConcordant": false,
        "SourceQuote": "p=0.015"
      },
      {
        "CohortReplicationId": "rep-f-3",
        "ReplicationLabel": "rep-f-3",
        "CausalMechanism": "cm-f",
        "FederatedDataset": "fed-amazon",
        "ReplicationEffectSign": 1,
        "ReplicationPValue": 0.034,
        "ReplicationAncestryLabel": "Indigenous American",
        "Name": "rep-f-3",
        "ParentPath": "/intake/new-patient/haidar-faisal/mechanisms/cm-f",
        "RelativePath": "/intake/new-patient/haidar-faisal/mechanisms/cm-f/replications/rep-f-3",
        "ReplicatedAtNominalSig": true,
        "MechanismPrimaryAncestry": "Indigenous American",
        "IsDifferentAncestryReplication": false,
        "IsCrossAncestryConcordant": false,
        "SourceQuote": "p=0.034, all positive, all in the SAME ancestry"
      },
      {
        "CohortReplicationId": "rep-g-1",
        "ReplicationLabel": "rep-g-1",
        "CausalMechanism": "cm-g",
        "FederatedDataset": "fed-europe",
        "ReplicationEffectSign": 1,
        "ReplicationPValue": 0.004,
        "ReplicationAncestryLabel": "European",
        "Name": "rep-g-1",
        "ParentPath": "/intake/new-patient/lin-grace/mechanisms/cm-g",
        "RelativePath": "/intake/new-patient/lin-grace/mechanisms/cm-g/replications/rep-g-1",
        "ReplicatedAtNominalSig": true,
        "MechanismPrimaryAncestry": "Indigenous American",
        "IsDifferentAncestryReplication": true,
        "IsCrossAncestryConcordant": true,
        "SourceQuote": "positive in a European cohort (p=0.004)"
      },
      {
        "CohortReplicationId": "rep-g-2",
        "ReplicationLabel": "rep-g-2",
        "CausalMechanism": "cm-g",
        "FederatedDataset": "fed-east-asia",
        "ReplicationEffectSign": 1,
        "ReplicationPValue": 0.012,
        "ReplicationAncestryLabel": "East Asian",
        "Name": "rep-g-2",
        "ParentPath": "/intake/new-patient/lin-grace/mechanisms/cm-g",
        "RelativePath": "/intake/new-patient/lin-grace/mechanisms/cm-g/replications/rep-g-2",
        "ReplicatedAtNominalSig": true,
        "MechanismPrimaryAncestry": "Indigenous American",
        "IsDifferentAncestryReplication": true,
        "IsCrossAncestryConcordant": true,
        "SourceQuote": "positive in an East Asian cohort (p=0.012)"
      },
      {
        "CohortReplicationId": "rep-g-3",
        "ReplicationLabel": "rep-g-3",
        "CausalMechanism": "cm-g",
        "FederatedDataset": "fed-amazon",
        "ReplicationEffectSign": 1,
        "ReplicationPValue": 0.029,
        "ReplicationAncestryLabel": "Indigenous American",
        "Name": "rep-g-3",
        "ParentPath": "/intake/new-patient/lin-grace/mechanisms/cm-g",
        "RelativePath": "/intake/new-patient/lin-grace/mechanisms/cm-g/replications/rep-g-3",
        "ReplicatedAtNominalSig": true,
        "MechanismPrimaryAncestry": "Indigenous American",
        "IsDifferentAncestryReplication": false,
        "IsCrossAncestryConcordant": false,
        "SourceQuote": "positive in an Indigenous American cohort (p=0.029)"
      },
      {
        "CohortReplicationId": "rep-h-1",
        "ReplicationLabel": "rep-h-1",
        "CausalMechanism": "cm-h",
        "FederatedDataset": "fed-east-asia",
        "ReplicationEffectSign": 1,
        "ReplicationPValue": 0.004,
        "ReplicationAncestryLabel": "East Asian",
        "Name": "rep-h-1",
        "ParentPath": "/intake/new-patient/yamamoto-hana/mechanisms/cm-h",
        "RelativePath": "/intake/new-patient/yamamoto-hana/mechanisms/cm-h/replications/rep-h-1",
        "ReplicatedAtNominalSig": true,
        "MechanismPrimaryAncestry": "East Asian",
        "IsDifferentAncestryReplication": false,
        "IsCrossAncestryConcordant": false,
        "SourceQuote": "positive effect sign in an East Asian cohort (p=0.004)",
        "CreatedBy": "v2-step10",
        "CreatedAt": "2026-06-20T00:00:00Z",
        "ModifiedBy": "v2-step10",
        "ModifiedAt": "2026-06-20T00:00:00Z",
        "ModifiedByModel": "claude-opus-4-8"
      },
      {
        "CohortReplicationId": "rep-h-2",
        "ReplicationLabel": "rep-h-2",
        "CausalMechanism": "cm-h",
        "FederatedDataset": "fed-west-africa",
        "ReplicationEffectSign": 1,
        "ReplicationPValue": 0.013,
        "ReplicationAncestryLabel": "African",
        "Name": "rep-h-2",
        "ParentPath": "/intake/new-patient/yamamoto-hana/mechanisms/cm-h",
        "RelativePath": "/intake/new-patient/yamamoto-hana/mechanisms/cm-h/replications/rep-h-2",
        "ReplicatedAtNominalSig": true,
        "MechanismPrimaryAncestry": "East Asian",
        "IsDifferentAncestryReplication": true,
        "IsCrossAncestryConcordant": true,
        "SourceQuote": "in an African cohort (p=0.013)",
        "CreatedBy": "v2-step10",
        "CreatedAt": "2026-06-20T00:00:00Z",
        "ModifiedBy": "v2-step10",
        "ModifiedAt": "2026-06-20T00:00:00Z",
        "ModifiedByModel": "claude-opus-4-8"
      },
      {
        "CohortReplicationId": "rep-h-3",
        "ReplicationLabel": "rep-h-3",
        "CausalMechanism": "cm-h",
        "FederatedDataset": "fed-europe",
        "ReplicationEffectSign": 1,
        "ReplicationPValue": 0.18,
        "ReplicationAncestryLabel": "European",
        "Name": "rep-h-3",
        "ParentPath": "/intake/new-patient/yamamoto-hana/mechanisms/cm-h",
        "RelativePath": "/intake/new-patient/yamamoto-hana/mechanisms/cm-h/replications/rep-h-3",
        "ReplicatedAtNominalSig": false,
        "MechanismPrimaryAncestry": "East Asian",
        "IsDifferentAncestryReplication": true,
        "IsCrossAncestryConcordant": false,
        "SourceQuote": "European replication is directionally consistent but not significant (p=0.18)",
        "CreatedBy": "v2-step10",
        "CreatedAt": "2026-06-20T00:00:00Z",
        "ModifiedBy": "v2-step10",
        "ModifiedAt": "2026-06-20T00:00:00Z",
        "ModifiedByModel": "claude-opus-4-8"
      },
      {
        "CohortReplicationId": "rep-i-1",
        "ReplicationLabel": "rep-i-1",
        "CausalMechanism": "cm-i",
        "FederatedDataset": "fed-east-asia",
        "ReplicationEffectSign": 1,
        "ReplicationPValue": 0.003,
        "ReplicationAncestryLabel": "East Asian",
        "Name": "rep-i-1",
        "ParentPath": "/intake/new-patient/conteh-ibrahim/mechanisms/cm-i",
        "RelativePath": "/intake/new-patient/conteh-ibrahim/mechanisms/cm-i/replications/rep-i-1",
        "ReplicatedAtNominalSig": true,
        "MechanismPrimaryAncestry": "African",
        "IsDifferentAncestryReplication": true,
        "IsCrossAncestryConcordant": true,
        "SourceQuote": "replicates positive in an East Asian cohort (p=0.003)",
        "CreatedBy": "v2-step10",
        "CreatedAt": "2026-06-20T00:00:00Z",
        "ModifiedBy": "v2-step10",
        "ModifiedAt": "2026-06-20T00:00:00Z",
        "ModifiedByModel": "claude-opus-4-8"
      },
      {
        "CohortReplicationId": "rep-i-2",
        "ReplicationLabel": "rep-i-2",
        "CausalMechanism": "cm-i",
        "FederatedDataset": "fed-west-africa",
        "ReplicationEffectSign": 1,
        "ReplicationPValue": 0.019,
        "ReplicationAncestryLabel": "African",
        "Name": "rep-i-2",
        "ParentPath": "/intake/new-patient/conteh-ibrahim/mechanisms/cm-i",
        "RelativePath": "/intake/new-patient/conteh-ibrahim/mechanisms/cm-i/rep</t>
  </si>
  <si>
    <t xml:space="preserve">lications/rep-i-2",
        "ReplicatedAtNominalSig": true,
        "MechanismPrimaryAncestry": "African",
        "IsDifferentAncestryReplication": false,
        "IsCrossAncestryConcordant": false,
        "SourceQuote": "an African cohort (p=0.019)",
        "CreatedBy": "v2-step10",
        "CreatedAt": "2026-06-20T00:00:00Z",
        "ModifiedBy": "v2-step10",
        "ModifiedAt": "2026-06-20T00:00:00Z",
        "ModifiedByModel": "claude-opus-4-8"
      },
      {
        "CohortReplicationId": "rep-i-3",
        "ReplicationLabel": "rep-i-3",
        "CausalMechanism": "cm-i",
        "FederatedDataset": "fed-europe",
        "ReplicationEffectSign": 1,
        "ReplicationPValue": 0.16,
        "ReplicationAncestryLabel": "European",
        "Name": "rep-i-3",
        "ParentPath": "/intake/new-patient/conteh-ibrahim/mechanisms/cm-i",
        "RelativePath": "/intake/new-patient/conteh-ibrahim/mechanisms/cm-i/replications/rep-i-3",
        "ReplicatedAtNominalSig": false,
        "MechanismPrimaryAncestry": "African",
        "IsDifferentAncestryReplication": true,
        "IsCrossAncestryConcordant": false,
        "SourceQuote": "non-significant European replication (p=0.16)",
        "CreatedBy": "v2-step10",
        "CreatedAt": "2026-06-20T00:00:00Z",
        "ModifiedBy": "v2-step10",
        "ModifiedAt": "2026-06-20T00:00:00Z",
        "ModifiedByModel": "claude-opus-4-8"
      },
      {
        "CohortReplicationId": "rep-j-1",
        "ReplicationLabel": "rep-j-1",
        "CausalMechanism": "cm-j",
        "FederatedDataset": "fed-east-asia",
        "ReplicationEffectSign": 1,
        "ReplicationPValue": 0.006,
        "ReplicationAncestryLabel": "East Asian",
        "Name": "rep-j-1",
        "ParentPath": "/intake/new-patient/brooks-jamal/mechanisms/cm-j",
        "RelativePath": "/intake/new-patient/brooks-jamal/mechanisms/cm-j/replications/rep-j-1",
        "ReplicatedAtNominalSig": true,
        "MechanismPrimaryAncestry": "Hispanic/Latino",
        "IsDifferentAncestryReplication": true,
        "IsCrossAncestryConcordant": true,
        "SourceQuote": "replicates positive in an East Asian cohort (p=0.006)",
        "CreatedBy": "v2-step10",
        "CreatedAt": "2026-06-20T00:00:00Z",
        "ModifiedBy": "v2-step10",
        "ModifiedAt": "2026-06-20T00:00:00Z",
        "ModifiedByModel": "claude-opus-4-8"
      },
      {
        "CohortReplicationId": "rep-j-2",
        "ReplicationLabel": "rep-j-2",
        "CausalMechanism": "cm-j",
        "FederatedDataset": "fed-west-africa",
        "ReplicationEffectSign": 1,
        "ReplicationPValue": 0.017,
        "ReplicationAncestryLabel": "African",
        "Name": "rep-j-2",
        "ParentPath": "/intake/new-patient/brooks-jamal/mechanisms/cm-j",
        "RelativePath": "/intake/new-patient/brooks-jamal/mechanisms/cm-j/replications/rep-j-2",
        "ReplicatedAtNominalSig": true,
        "MechanismPrimaryAncestry": "Hispanic/Latino",
        "IsDifferentAncestryReplication": true,
        "IsCrossAncestryConcordant": true,
        "SourceQuote": "an African cohort (p=0.017)",
        "CreatedBy": "v2-step10",
        "CreatedAt": "2026-06-20T00:00:00Z",
        "ModifiedBy": "v2-step10",
        "ModifiedAt": "2026-06-20T00:00:00Z",
        "ModifiedByModel": "claude-opus-4-8"
      },
      {
        "CohortReplicationId": "rep-j-3",
        "ReplicationLabel": "rep-j-3",
        "CausalMechanism": "cm-j",
        "FederatedDataset": "fed-europe",
        "ReplicationEffectSign": 1,
        "ReplicationPValue": 0.22,
        "ReplicationAncestryLabel": "European",
        "Name": "rep-j-3",
        "ParentPath": "/intake/new-patient/brooks-jamal/mechanisms/cm-j",
        "RelativePath": "/intake/new-patient/brooks-jamal/mechanisms/cm-j/replications/rep-j-3",
        "ReplicatedAtNominalSig": false,
        "MechanismPrimaryAncestry": "Hispanic/Latino",
        "IsDifferentAncestryReplication": true,
        "IsCrossAncestryConcordant": false,
        "SourceQuote": "non-significant European replication (p=0.22)",
        "CreatedBy": "v2-step10",
        "CreatedAt": "2026-06-20T00:00:00Z",
        "ModifiedBy": "v2-step10",
        "ModifiedAt": "2026-06-20T00:00:00Z",
        "ModifiedByModel": "claude-opus-4-8"
      },
      {
        "CohortReplicationId": "rep-k-1",
        "ReplicationLabel": "rep-k-1",
        "CausalMechanism": "cm-k",
        "FederatedDataset": "fed-amazon",
        "ReplicationEffectSign": 1,
        "ReplicationPValue": 0.005,
        "ReplicationAncestryLabel": "South Asian",
        "Name": "rep-k-1",
        "ParentPath": "/intake/new-patient/nair-kavya/mechanisms/cm-k",
        "RelativePath": "/intake/new-patient/nair-kavya/mechanisms/cm-k/replications/rep-k-1",
        "ReplicatedAtNominalSig": true,
        "MechanismPrimaryAncestry": "South Asian",
        "IsDifferentAncestryReplication": false,
        "IsCrossAncestryConcordant": false,
        "SourceQuote": "run in an Indigenous American cohort: p=0.005",
        "CreatedBy": "v2-step10",
        "CreatedAt": "2026-06-20T00:00:00Z",
        "ModifiedBy": "v2-step10",
        "ModifiedAt": "2026-06-20T00:00:00Z",
        "ModifiedByModel": "claude-opus-4-8"
      },
      {
        "CohortReplicationId": "rep-k-2",
        "ReplicationLabel": "rep-k-2",
        "CausalMechanism": "cm-k",
        "FederatedDataset": "fed-amazon",
        "ReplicationEffectSign": 1,
        "ReplicationPValue": 0.015,
        "ReplicationAncestryLabel": "South Asian",
        "Name": "rep-k-2",
        "ParentPath": "/intake/new-patient/nair-kavya/mechanisms/cm-k",
        "RelativePath": "/intake/new-patient/nair-kavya/mechanisms/cm-k/replications/rep-k-2",
        "ReplicatedAtNominalSig": true,
        "MechanismPrimaryAncestry": "South Asian",
        "IsDifferentAncestryReplication": false,
        "IsCrossAncestryConcordant": false,
        "SourceQuote": "p=0.015",
        "CreatedBy": "v2-step10",
        "CreatedAt": "2026-06-20T00:00:00Z",
        "ModifiedBy": "v2-step10",
        "ModifiedAt": "2026-06-20T00:00:00Z",
        "ModifiedByModel": "claude-opus-4-8"
      },
      {
        "CohortReplicationId": "rep-k-3",
        "ReplicationLabel": "rep-k-3",
        "CausalMechanism": "cm-k",
        "FederatedDataset": "fed-amazon",
        "ReplicationEffectSign": 1,
        "ReplicationPValue": 0.034,
        "ReplicationAncestryLabel": "South Asian",
        "Name": "rep-k-3",
        "ParentPath": "/intake/new-patient/nair-kavya/mechanisms/cm-k",
        "RelativePath": "/intake/new-patient/nair-kavya/mechanisms/cm-k/replications/rep-k-3",
        "ReplicatedAtNominalSig": true,
        "MechanismPrimaryAncestry": "South Asian",
        "IsDifferentAncestryReplication": false,
        "IsCrossAncestryConcordant": false,
        "SourceQuote": "p=0.034, all positive, all in the SAME ancestry",
        "CreatedBy": "v2-step10",
        "CreatedAt": "2026-06-20T00:00:00Z",
        "ModifiedBy": "v2-step10",
        "ModifiedAt": "2026-06-20T00:00:00Z",
        "ModifiedByModel": "claude-opus-4-8"
      },
      {
        "CohortReplicationId": "rep-l-1",
        "ReplicationLabel": "rep-l-1",
        "CausalMechanism": "cm-l",
        "FederatedDataset": "fed-europe",
        "ReplicationEffectSign": 1,
        "ReplicationPValue": 0.004,
        "ReplicationAncestryLabel": "European",
        "Name": "rep-l-1",
        "ParentPath": "/intake/new-patient/brandt-lena/mechanisms/cm-l",
        "RelativePath": "/intake/new-patient/brandt-lena/mechanisms/cm-l/replications/rep-l-1",
        "ReplicatedAtNominalSig": true,
        "MechanismPrimaryAncestry": "Indigenous American",
        "IsDifferentAncestryReplication": true,
        "IsCrossAncestryConcordant": true,
        "SourceQuote": "positive in a European cohort (p=0.004)",
        "CreatedBy": "v2-step10",
        "CreatedAt": "2026-06-20T00:00:00Z",
        "ModifiedBy": "v2-step10",
        "ModifiedAt": "2026-06-20T00:00:00Z",
        "ModifiedByModel": "claude-opus-4-8"
      },
      {
        "CohortReplicationId": "rep-l-2",
        "ReplicationLabel": "rep-l-2",
        "CausalMechanism": "cm-l",
        "FederatedDataset": "fed-east-asia",
        "ReplicationEffectSign": 1,
        "ReplicationPValue": 0.012,
        "ReplicationAncestryLabel": "East Asian",
        "Name": "rep-l-2",
        "ParentPath": "/intake/new-patient/brandt-lena/mechanisms/cm-l",
        "RelativePath": "/intake/new-patient/brandt-lena/mechanisms/cm-l/replications/rep-l-2",
        "ReplicatedAtNominalSig": true,
        "MechanismPrimaryAncestry": "Indigenous American",
        "IsDifferentAncestryReplication": true,
        "IsCrossAncestryConcordant": true,
        "SourceQuote": "positive in an East Asian cohort (p=0.012)",
        "CreatedBy": "v2-step10",
        "CreatedAt": "2026-06-20T00:00:00Z",
        "ModifiedBy": "v2-step10",
        "ModifiedAt": "2026-06-20T00:00:00Z",
        "ModifiedByModel": "claude-opus-4-8"
      },
      {
        "CohortReplicationId": "rep-l-3",
        "ReplicationLabel": "rep-l-3",
        "CausalMechanism": "cm-l",
        "FederatedDataset": "fed-amazon",
        "ReplicationEffectSign": 1,
        "ReplicationPValue": 0.029,
        "ReplicationAncestryLabel": "Indigenous American",
        "Name": "rep-l-3",
        "ParentPath": "/intake/new-patient/brandt-lena/mechanisms/cm-l",
        "RelativePath": "/intake/new-patient/brandt-lena/mechanisms/cm-l/replications/rep-l-3",
        "ReplicatedAtNominalSig": true,
        "MechanismPrimaryAncestry": "Indigenous American",
        "IsDifferentAncestryReplication": false,
        "IsCrossAncestryConcordant": false,
        "SourceQuote": "positive in an Indigenous American cohort (p=0.029)",
        "CreatedBy": "v2-step10",
        "CreatedAt": "2026-06-20T00:00:00Z",
        "ModifiedBy": "v2-step10",
        "ModifiedAt": "2026-06-20T00:00:00Z",
        "ModifiedByModel": "claude-opus-4-8"
      }
    ]
  },
  "NegativeControlTests": {
    "Description": "One stratification / permutation control on a causal mechanism. A true causal signal collapses under the control.",
    "schema": [
      {
        "name": "NegativeControlTestId",
        "datatype": "string",
        "type": "raw",
        "nullable": false,
        "Description": "Stable id for this control test."
      },
      {
        "name": "ControlLabel",
        "datatype": "string",
        "type": "raw",
        "nullable": false,
        "Description": "Human label."
      },
      {
        "name": "CausalMechanism",
        "datatype": "string",
        "type": "raw",
        "nullable": false,
        "Description": "FK to the mechanism being controlled.",
        "RelatedTo": "CausalMechanisms"
      },
      {
        "name": "TestKind",
        "datatype": "string",
        "type": "raw",
        "nullable": false,
        "Description": "OBSERVATION: kind of control (ancestry-permutation / batch-stratified / negative-control)."
      },
      {
        "name": "PermutationEffectSize",
        "datatype": "number",
        "type": "raw",
        "nullable": false,
        "Description": "OBSERVATION: (absolute) effect measured under the null/permuted control."
      },
      {
        "name": "NullThreshold",
        "datatype": "number",
        "type": "raw",
        "nullable": false,
        "Description": "OBSERVATION: pre-registered null-band half-width the control must stay within."
      },
      {
        "name": "Name",
        "datatype": "string",
        "type": "calculated",
        "nullable": false,
        "Description": "Display name.",
        "formula": "={{ControlLabel}}"
      },
      {
        "name": "ParentPath",
        "datatype": "string",
        "type": "lookup",
        "nullable": true,
        "Description": "Lookup: CausalMechanisms.RelativePath via CausalMechanism —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NegativeControlTest page, chained under its CausalMechanism parent.",
        "formula": "={{ParentPath}} &amp; \"/neg-controls/\" &amp; {{NegativeControlTestId}}"
      },
      {
        "name": "IsSurvived",
        "datatype": "boolean",
        "type": "calculated",
        "nullable": true,
        "Description": "Derived: signal collapses under the control (within the null band), as a true causal effect should.",
        "formula": "=IF({{PermutationEffectSize}} &lt;= {{NullThreshold}}, TRUE(), FALSE())"
      },
      {
        "name": "SourceQuote",
        "datatype": "string",
        "type": "raw",
        "nullable": true,
        "Description": "PANEL 2-&gt;1 provenance pointer (raw leaf, read by nothing downstream): the literal span of the patient's CaseNarrative from which this negative control's raw value was extracted. A human verifies the EXTRACTION was faithful here, separately from trusting the derived diagnosis — which is exactly what defeats 'a hallucination laundered through a deterministic function'."
      }
    ],
    "data": [
      {
        "NegativeControlTestId": "nct-a-1",
        "ControlLabel": "nct-a-1",
        "CausalMechanism": "cm-a",
        "TestKind": "ancestry-permutation",
        "PermutationEffectSize": 0.012,
        "NullThreshold": 0.1,
        "Name": "nct-a-1",
        "ParentPath": "/intake/new-patient/reyes-ana/mechanisms/cm-a",
        "RelativePath": "/intake/new-patient/reyes-ana/mechanisms/cm-a/neg-controls/nct-a-1",
        "IsSurvived": true,
        "SourceQuote": "permutation effect 0.012 and 0.028 inside +/-0.1"
      },
      {
        "NegativeControlTestId": "nct-a-2",
        "ControlLabel": "nct-a-2",
        "CausalMechanism": "cm-a",
        "TestKind": "ancestry-permutation",
        "PermutationEffectSize": 0.028,
        "NullThreshold": 0.1,
        "Name": "nct-a-2",
        "ParentPath": "/intake/new-patient/reyes-ana/mechanisms/cm-a",
        "RelativePath": "/intake/new-patient/reyes-ana/mechanisms/cm-a/neg-controls/nct-a-2",
        "IsSurvived": true,
        "SourceQuote": "permutation effect 0.012 and 0.028 inside +/-0.1"
      },
      {
        "NegativeControlTestId": "nct-b-1",
        "ControlLabel": "nct-b-1",
        "CausalMechanism": "cm-b",
        "TestKind": "ancestry-permutation",
        "PermutationEffectSize": 0.015,
        "NullThreshold": 0.1,
        "Name": "nct-b-1",
        "ParentPath": "/intake/new-patient/okafor-bili/mechanisms/cm-b",
        "RelativePath": "/intake/new-patient/okafor-bili/mechanisms/cm-b/neg-controls/nct-b-1",
        "IsSurvived": true,
        "SourceQuote": "permutation effect 0.015 and 0.024 inside +/-0.1"
      },
      {
        "NegativeControlTestId": "nct-b-2",
        "ControlLabel": "nct-b-2",
        "CausalMechanism": "cm-b",
        "TestKind": "ancestry-permutation",
        "PermutationEffectSize": 0.024,
        "NullThreshold": 0.1,
        "Name": "nct-b-2",
        "ParentPath": "/intake/new-patient/okafor-bili/mechanisms/cm-b",
        "RelativePath": "/intake/new-patient/okafor-bili/mechanisms/cm-b/neg-controls/nct-b-2",
        "IsSurvived": true,
        "SourceQuote": "permutation effect 0.015 and 0.024 inside +/-0.1"
      },
      {
        "NegativeControlTestId": "nct-d-1",
        "ControlLabel": "nct-d-1",
        "CausalMechanism": "cm-d",
        "TestKind": "ancestry-permutation",
        "PermutationEffectSize": 0.009,
        "NullThreshold": 0.1,
        "Name": "nct-d-1",
        "ParentPath": "/intake/new-patient/santos-diego/mechanisms/cm-d",
        "RelativePath": "/intake/new-patient/santos-diego/mechanisms/cm-d/neg-controls/nct-d-1",
        "IsSurvived": true,
        "SourceQuote": "permutation effect 0.009 and 0.031 inside +/-0.1"
      },
      {
        "NegativeControlTestId": "nct-d-2",
        "ControlLabel": "nct-d-2",
        "CausalMechanism": "cm-d",
        "TestKind": "ancestry-permutation",
        "PermutationEffectSize": 0.031,
        "NullThreshold": 0.1,
        "Name": "nct-d-2",
        "ParentPath": "/intake/new-patient/santos-diego/mechanisms/cm-d",
        "RelativePath": "/intake/new-patient/santos-diego/mechanisms/cm-d/neg-controls/nct-d-2",
        "IsSurvived": true,
        "SourceQuote": "permutation effect 0.009 and 0.031 inside +/-0.1"
      },
      {
        "NegativeControlTestId": "nct-e-1",
        "ControlLabel": "nct-e-1",
        "CausalMechanism": "cm-e",
        "TestKind": "ancestry-permutation",
        "PermutationEffectSize": 0.011,
        "NullThreshold": 0.1,
        "Name": "nct-e-1",
        "ParentPath": "/intake/new-patient/mensah-esi/mechanisms/cm-e",
        "RelativePath": "/intake/new-patient/mensah-esi/mechanisms/cm-e/neg-controls/nct-e-1",
        "IsSurvived": true,
        "SourceQuote": "permutation effect 0.011 and 0.026 inside +/-0.1"
      },
      {
        "NegativeControlTestId": "nct-e-2",
        "ControlLabel": "nct-e-2",
        "CausalMechanism": "cm-e",
        "TestKind": "ancestry-permutation",
        "PermutationEffectSize": 0.026,
        "NullThreshold": 0.1,
        "Name": "nct-e-2",
        "ParentPath": "/intake/new-patient/mensah-esi/mechanisms/cm-e",
        "RelativePath": "/intake/new-patient/mensah-esi/mechanisms/cm-e/neg-controls/nct-e-2",
        "IsSurvived": true,
        "SourceQuote": "permutation effect 0.011 and 0.026 inside +/-0.1"
      },
      {
        "NegativeControlTestId": "nct-f-1",
        "ControlLabel": "nct-f-1",
        "CausalMechanism": "cm-f",
        "TestKind": "ancestry-permutation",
        "PermutationEffectSize": 0.008,
        "NullThreshold": 0.1,
        "Name": "nct-f-1",
        "ParentPath": "/intake/new-patient/haidar-faisal/mechanisms/cm-f",
        "RelativePath": "/intake/new-patient/haidar-faisal/mechanisms/cm-f/neg-controls/nct-f-1",
        "IsSurvived": true,
        "SourceQuote": "permutation effect 0.008 and 0.022 inside +/-0.1"
      },
      {
        "NegativeControlTestId": "nct-f-2",
        "ControlLabel": "nct-f-2",
        "CausalMechanism": "cm-f",
        "TestKind": "ancestry-permutation",
        "PermutationEffectSize": 0.022,
        "NullThreshold": 0.1,
        "Name": "nct-f-2",
        "ParentPath": "/intake/new-patient/haidar-faisal/mechanisms/cm-f",
        "RelativePath": "/intake/new-patient/haidar-faisal/mechanisms/cm-f/neg-controls/nct-f-2",
        "IsSurvived": true,
        "SourceQuote": "permutation effect 0.008 and 0.022 inside +/-0.1"
      },
      {
        "NegativeControlTestId": "nct-g-1",
        "ControlLabel": "nct-g-1",
        "CausalMechanism": "cm-g",
        "TestKind": "ancestry-permutation",
        "PermutationEffectSize": 0.007,
        "NullThreshold": 0.1,
        "Name": "nct-g-1",
        "ParentPath": "/intake/new-patient/lin-grace/mechanisms/cm-g",
        "RelativePath": "/intake/new-patient/lin-grace/mechanisms/cm-g/neg-controls/nct-g-1",
        "IsSurvived": true,
        "SourceQuote": "permutation effect 0.007 and 0.019 inside +/-0.1"
      },
      {
        "NegativeControlTestId": "nct-g-2",
        "ControlLabel": "nct-g-2",
        "CausalMechanism": "cm-g",
        "TestKind": "ancestry-permutation",
        "PermutationEffectSize": 0.019,
        "NullThreshold": 0.1,
        "Name": "nct-g-2",
        "ParentPath": "/intake/new-patient/lin-grace/mechanisms/cm-g",
        "RelativePath": "/intake/new-patient/lin-grace/mechanisms/cm-g/neg-controls/nct-g-2",
        "IsSurvived": true,
        "SourceQuote": "permutation effect 0.007 and 0.019 inside +/-0.1"
      },
      {
        "NegativeControlTestId": "nct-c-1",
        "ControlLabel": "nct-c-1",
        "CausalMechanism": "cm-c",
        "TestKind": "ancestry-permutation",
        "PermutationEffectSize": 0.013,
        "NullThreshold": 0.1,
        "Name": "nct-c-1",
        "ParentPath": "/intake/new-patient/wei-chen/mechanisms/cm-c",
        "RelativePath": "/intake/new-patient/wei-chen/mechanisms/cm-c/neg-controls/nct-c-1",
        "IsSurvived": true,
        "SourceQuote": "one ancestry-permutation control collapses (permutation effect 0.013)"
      },
      {
        "NegativeControlTestId": "nct-c-2",
        "ControlLabel": "nct-c-2",
        "CausalMechanism": "cm-c",
        "TestKind": "ancestry-permutation",
        "PermutationEffectSize": 0.46,
        "NullThreshold": 0.1,
        "Name": "nct-c-2",
        "ParentPath": "/intake/new-patient/wei-chen/mechanisms/cm-c",
        "RelativePath": "/intake/new-patient/wei-chen/mechanisms/cm-c/neg-controls/nct-c-2",
        "IsSurvived": false,
        "SourceQuote": "its permutation effect is 0.46, far outside the +/-0.1 null band"
      },
      {
        "NegativeControlTestId": "nct-h-1",
        "ControlLabel": "nct-h-1",
        "CausalMechanism": "cm-h",
        "TestKind": "ancestry-permutation",
        "PermutationEffectSize": 0.012,
        "NullThreshold": 0.1,
        "Name": "nct-h-1",
        "ParentPath": "/intake/new-patient/yamamoto-hana/mechanisms/cm-h",
        "RelativePath": "/intake/new-patient/yamamoto-hana/mechanisms/cm-h/neg-controls/nct-h-1",
        "IsSurvived": true,
        "SourceQuote": "permutation effect 0.012 and 0.028 inside +/-0.1",
        "CreatedBy": "v2-step10",
        "CreatedAt": "2026-06-20T00:00:00Z",
        "ModifiedBy": "v2-step10",
        "ModifiedAt": "2026-06-20T00:00:00Z",
        "ModifiedByModel": "claude-opus-4-8"
      },
      {
        "NegativeControlTestId": "nct-h-2",
        "ControlLabel": "nct-h-2",
        "CausalMechanism": "cm-h",
        "TestKind": "ancestry-permutation",
        "PermutationEffectSize": 0.028,
        "NullThreshold": 0.1,
        "Name": "nct-h-2",
        "ParentPath": "/intake/new-patient/yamamoto-hana/mechanisms/cm-h",
        "RelativePath": "/intake/new-patient/yamamoto-hana/mechanisms/cm-h/neg-controls/nct-h-2",
        "IsSurvived": true,
        "SourceQuote": "permutation effect 0.012 and 0.028 inside +/-0.1",
        "CreatedBy": "v2-step10",
        "CreatedAt": "2026-06-20T00:00:00Z",
        "ModifiedBy": "v2-step10",
        "ModifiedAt": "2026-06-20T00:00:00Z",
        "ModifiedByModel": "claude-opus-4-8"
      },
      {
        "NegativeControlTestId": "nct-i-1",
        "ControlLabel": "nct-i-1",
        "CausalMechanism": "cm-i",
        "TestKind": "ancestry-permutation",
        "PermutationEffectSize": 0.009,
        "NullThreshold": 0.1,
        "Name": "nct-i-1",
        "ParentPath": "/intake/new-patient/conteh-ibrahim/mechanisms/cm-i",
        "RelativePath": "/intake/new-patient/conteh-ibrahim/mechanisms/cm-i/neg-controls/nct-i-1",
        "IsSurvived": true,
        "SourceQuote": "permutation effect 0.009 and 0.031 inside +/-0.1",
        "CreatedBy": "v2-step10",
        "CreatedAt": "2026-06-20T00:00:00Z",
        "ModifiedBy": "v2-step10",
        "ModifiedAt": "2026-06-20T00:00:00Z",
        "ModifiedByModel": "claude-opus-4-8"
      },
      {
        "NegativeControlTestId": "nct-i-2",
        "ControlLabel": "nct-i-2",
        "CausalMechanism": "cm-i",
        "TestKind": "ancestry-permutation",
        "PermutationEffectSize": 0.031,
        "NullThreshold": 0.1,
        "Name": "nct-i-2",
        "ParentPath": "/intake/new-patient/conteh-ibrahim/mechanisms/cm-i",
        "RelativePath": "/intake/new-patient/conteh-ibrahim/mechanisms/cm-i/neg-controls/nct-i-2",
        "IsSurvived": true,
        "SourceQuote": "permutation effect 0.009 and 0.031 inside +/-0.1",
        "CreatedBy": "v2-step10",
        "CreatedAt": "2026-06-20T00:00:00Z",
        "ModifiedBy": "v2-step10",
        "ModifiedAt": "2026-06-20T00:00:00Z",
        "ModifiedByModel": "claude-opus-4-8"
      },
      {
        "NegativeControlTestId": "nct-j-1",
        "ControlLabel": "nct-j-1",
        "CausalMechanism": "cm-j",
        "TestKind": "ancestry-permutation",
        "PermutationEffectSize": 0.015,
        "NullThreshold": 0.1,
        "Name": "nct-j-1",
        "ParentPath": "/intake/new-patient/brooks-jamal/mechanisms/cm-j",
        "RelativePath": "/intake/new-patient/brooks-jamal/mechanisms/cm-j/neg-controls/nct-j-1",
        "IsSurvived": true,
        "SourceQuote": "permutation effect 0.015 and 0.024 inside +/-0.1",
        "CreatedBy": "v2-step10",
        "CreatedAt": "2026-06-20T00:00:00Z",
        "ModifiedBy": "v2-step10",
        "ModifiedAt": "2026-06-20T00:00:00Z",
        "ModifiedByModel": "claude-opus-4-8"
      },
      {
        "NegativeControlTestId": "nct-j-2",
        "ControlLabel": "nct-j-2",
        "CausalMechanism": "cm-j",
        "TestKind": "ancestry-permutation",
        "PermutationEffectSize": 0.024,
        "NullThreshold": 0.1,
        "Name": "nct-j-2",
        "ParentPath": "/intake/new-patient/brooks-jamal/mechanisms/cm-j",
        "RelativePath": "/intake/new-patient/brooks-jamal/mechanisms/cm-j/neg-controls/nct-j-2",
        "IsSurvived": true,
        "SourceQuote": "permutation effect 0.015 and 0.024 inside +/-0.1",
        "CreatedBy": "v2-step10",
        "CreatedAt": "2026-06-20T00:00:00Z",
        "ModifiedBy": "v2-step10",
        "ModifiedAt": "2026-06-20T00:00:00Z",
        "ModifiedByModel": "claude-opus-4-8"
      },
      {
        "NegativeControlTestId": "nct-k-1",
        "ControlLabel": "nct-k-1",
        "CausalMechanism": "cm-k",
        "TestKind": "ancestry-permutation",
        "PermutationEffectSize": 0.008,
        "NullThreshold": 0.1,
        "Name": "nct-k-1",
        "ParentPath": "/intake/new-patient/nair-kavya/mechanisms/cm-k",
        "RelativePath": "/intake/new-patient/nair-kavya/mechanisms/cm-k/neg-controls/nct-k-1",
        "IsSurvived": true,
        "SourceQuote": "permutation effect 0.008 and 0.022 inside +/-0.1",
        "CreatedBy": "v2-step10",
        "CreatedAt": "2026-06-20T00:00:00Z",
        "ModifiedBy": "v2-step10",
        "ModifiedAt": "2026-06-20T00:00:00Z",
        "ModifiedByModel": "claude-opus-4-8"
      },
      {
        "NegativeControlTestId": "nct-k-2",
        "ControlLabel": "nct-k-2",
        "CausalMechanism": "cm-k",
        "TestKind": "ancestry-permutation",
        "PermutationEffectSize": 0.022,
        "NullThreshold": 0.1,
        "Name": "nct-k-2",
        "ParentPath": "/intake/new-patient/nair-kavya/mechanisms/cm-k",
        "RelativePath": "/intake/new-patient/nair-kavya/mechanisms/cm-k/neg-controls/nct-k-2",
        "IsSurvived": true,
        "SourceQuote": "permutation effect 0.008 and 0.022 inside +/-0.1",
        "CreatedBy": "v2-step10",
        "CreatedAt": "2026-06-20T00:00:00Z",
        "ModifiedBy": "v2-step10",
        "ModifiedAt": "2026-06-20T00:00:00Z",
        "ModifiedByModel": "claude-opus-4-8"
      },
      {
        "NegativeControlTestId": "nct-l-1",
        "ControlLabel": "nct-l-1",
        "CausalMechanism": "cm-l",
        "TestKind": "ancestry-permutation",
        "PermutationEffectSize": 0.007,
        "NullThreshold": 0.1,
        "Name": "nct-l-1",
        "ParentPath": "/intake/new-patient/brandt-lena/mechanisms/cm-l",
        "RelativePath": "/intake/new-patient/brandt-lena/mechanisms/cm-l/neg-controls/nct-l-1",
        "IsSurvived": true,
        "SourceQuote": "permutation effect 0.007 and 0.019 inside +/-0.1",
        "CreatedBy": "v2-step10",
        "CreatedAt": "2026-06-20T00:00:00Z",
        "ModifiedBy": "v2-step10",
        "ModifiedAt": "2026-06-20T00:00:00Z",
        "ModifiedByModel": "claude-opus-4-8"
      },
      {
        "NegativeControlTestId": "nct-l-2",
        "ControlLabel": "nct-l-2",
        "CausalMechanism": "cm-l",
        "TestKind": "ancestry-permutation",
        "PermutationEffectSize": 0.019,
        "NullThreshold": 0.1,
        "Name": "nct-l-2",
        "ParentPath": "/intake/new-patient/brandt-lena/mechanisms/cm-l",
        "RelativePath": "/intake/new-patient/brandt-lena/mechanisms/cm-l/neg-controls/nct-l-2",
        "IsSurvived": true,
        "SourceQuote": "permutation effect 0.007 and 0.019 inside +/-0.1",
        "CreatedBy": "v2-step10",
        "CreatedAt": "2026-06-20T00:00:00Z",
        "ModifiedBy": "v2-step10",
        "ModifiedAt": "2026-06-20T00:00:00Z",
        "ModifiedByModel": "claude-opus-4-8"
      }
    ]
  },
  "EnvironmentalExposures": {
    "Description": "Longitudinal environmental exposures contributing to gene-environment-microbiome interactions and shifting environments.",
    "schema": [
      {
        "name": "EnvironmentalExposureId",
        "datatype": "string",
        "type": "raw",
        "nullable": false,
        "Description": "Stable identifier for each exposure record."
      },
      {
        "name": "ExposureLabel",
        "datatype": "string",
        "type": "raw",
        "nullable": false,
        "Description": "Exposure name (smoking, UV, particulate, etc.)."
      },
      {
        "name": "Individual",
        "datatype": "string",
        "type": "raw",
        "nullable": false,
        "Description": "Exposed individual."
      },
      {
        "name": "ExposureLevel",
        "datatype": "number",
        "type": "raw",
        "nullable": false,
        "Description": "Quantified exposure intensity."
      },
      {
        "name": "ExposureStartDate",
        "datatype": "datetime",
        "type": "raw",
        "nullable": true,
        "Description": "Start of longitudinal exposure window."
      },
      {
        "name": "IsMaternalEffect",
        "datatype": "boolean",
        "type": "raw",
        "nullable": false,
        "Description": "True when exposure reflects maternal developmental effects."
      },
      {
        "name": "Name",
        "datatype": "string",
        "type": "calculated",
        "nullable": true,
        "Description": "Display label.",
        "formula": "={{ExposureLabel}}"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EnvironmentalExposure page, chained under its Individual parent.",
        "formula": "={{ParentPath}} &amp; \"/exposures/\" &amp; {{EnvironmentalExposureId}}"
      },
      {
        "name": "IndividualAncestryLabel",
        "datatype": "string",
        "type": "calculated",
        "nullable": true,
        "Description": "Ancestry lookup for stratification.",
        "formula": "=INDEX(Individuals!{{AncestryLabel}}, MATCH({{Individual}}, Individuals!{{IndividualId}}, 0))"
      },
      {
        "name": "IsHighExposure",
        "datatype": "boolean",
        "type": "calculated",
        "nullable": true,
        "Description": "True when exposure level exceeds threshold.",
        "formula": "=IF({{ExposureLevel}} &gt; 5, TRUE(), FALSE())"
      }
    ],
    "data": [
      {
        "EnvironmentalExposureId": "exp-context",
        "ExposureLabel": "Smoking pack-years (context only)",
        "Individual": "ind-a-reyes",
        "ExposureLevel": 3,
        "ExposureStartDate": "2015-01-01",
        "IsMaternalEffect": false,
        "Name": "Smoking pack-years (context only)",
        "ParentPath": "/intake/new-patient/reyes-ana",
        "RelativePath": "/intake/new-patient/reyes-ana/exposures/exp-context",
        "IndividualAncestryLabel": "European",
        "IsHighExposure": false
      }
    ]
  },
  "Treatments": {
    "Description": "Treatment histories capturing treatment-induced changes, treatment response, and adverse effects.",
    "schema": [
      {
        "name": "TreatmentId",
        "datatype": "string",
        "type": "raw",
        "nullable": false,
        "Description": "Stable identifier for each treatment record."
      },
      {
        "name": "TreatmentLabel",
        "datatype": "string",
        "type": "raw",
        "nullable": false,
        "Description": "Therapy name."
      },
      {
        "name": "Individual",
        "datatype": "string",
        "type": "raw",
        "nullabl</t>
  </si>
  <si>
    <t xml:space="preserve">e": false,
        "Description": "Treated individual."
      },
      {
        "name": "AutoimmuneDisease",
        "datatype": "string",
        "type": "raw",
        "nullable": false,
        "Description": "Target autoimmune disease."
      },
      {
        "name": "TargetsMechanism",
        "datatype": "string",
        "type": "raw",
        "nullable": true,
        "Description": "FK to the CausalMechanism this treatment acts on (the drug's target mechanism). Raw leaf: which mechanism the clinician/LLM says this therapy targets."
      },
      {
        "name": "TreatmentResponse",
        "datatype": "string",
        "type": "raw",
        "nullable": false,
        "Description": "Response category: Complete, Partial, None, Adverse."
      },
      {
        "name": "HasTreatmentInducedChange",
        "datatype": "boolean",
        "type": "raw",
        "nullable": false,
        "Description": "True when molecular state shifted due to therapy."
      },
      {
        "name": "HasAdverseEffect",
        "datatype": "boolean",
        "type": "raw",
        "nullable": false,
        "Description": "True when adverse effects observed."
      },
      {
        "name": "StartDate",
        "datatype": "datetime",
        "type": "raw",
        "nullable": true,
        "Description": "Treatment start date."
      },
      {
        "name": "Name",
        "datatype": "string",
        "type": "calculated",
        "nullable": true,
        "Description": "Display label.",
        "formula": "={{TreatmentLabel}}"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Treatment page, chained under its Individual parent.",
        "formula": "={{ParentPath}} &amp; \"/treatments/\" &amp; {{TreatmentId}}"
      },
      {
        "name": "AutoimmuneDiseaseLabel",
        "datatype": "string",
        "type": "calculated",
        "nullable": true,
        "Description": "Disease label lookup.",
        "formula": "=INDEX(AutoimmuneDiseases!{{DiseaseLabel}}, MATCH({{AutoimmuneDisease}}, AutoimmuneDiseases!{{AutoimmuneDiseaseId}}, 0))"
      },
      {
        "name": "IsEffectiveTreatment",
        "datatype": "boolean",
        "type": "calculated",
        "nullable": true,
        "Description": "True for Complete or Partial response without adverse effects.",
        "formula": "=IF(AND(OR({{TreatmentResponse}} = \"Complete\", {{TreatmentResponse}} = \"Partial\"), NOT({{HasAdverseEffect}})), TRUE(), FALSE())"
      },
      {
        "name": "IsMechanismMatched",
        "datatype": "boolean",
        "type": "lookup",
        "nullable": true,
        "Description": "True when the treatment's target mechanism is a CONFIRMED causal-architecture node (empty-guarded). This is the 'mechanism match'.",
        "formula": "=IF({{TargetsMechanism}} = \"\", FALSE(), INDEX(CausalMechanisms!{{IsCausalArchitectureNode}}, MATCH({{TargetsMechanism}}, CausalMechanisms!{{CausalMechanismId}}, 0)))"
      },
      {
        "name": "IsTreatmentResponsePredicted",
        "datatype": "boolean",
        "type": "calculated",
        "nullable": true,
        "Description": "Derived: the treatment is effective AND targets a confirmed mechanism. A drug aimed at a debunked mechanism, or one that didn't respond / was adverse, is NOT predicted.",
        "formula": "=IF(AND({{IsEffectiveTreatment}}, {{IsMechanismMatched}}), TRUE(), FALSE())"
      },
      {
        "name": "TreatmentResponseDecidingFactor",
        "datatype": "string",
        "type": "calculated",
        "nullable": true,
        "Description": "Why response is/ isn't predicted — the single deciding reason.",
        "formula": "=IF({{IsTreatmentResponsePredicted}}, \"EffectiveOnConfirmedMechanism\", IF(NOT({{IsMechanismMatched}}), \"NoConfirmedMechanism\", IF({{HasAdverseEffect}}, \"AdverseEffect\", IF(OR({{TreatmentResponse}} = \"None\", {{TreatmentResponse}} = \"Adverse\"), \"NoResponse\", \"Undetermined\"))))"
      }
    ],
    "data": [
      {
        "TreatmentId": "tx-a",
        "TreatmentLabel": "Anifrolumab (anti-IFNAR1)",
        "Individual": "ind-a-reyes",
        "AutoimmuneDisease": "sle",
        "TargetsMechanism": "cm-a",
        "TreatmentResponse": "Partial",
        "HasTreatmentInducedChange": true,
        "HasAdverseEffect": false,
        "StartDate": "2024-04-01",
        "Name": "Anifrolumab (anti-IFNAR1)",
        "ParentPath": "/intake/new-patient/reyes-ana",
        "RelativePath": "/intake/new-patient/reyes-ana/treatments/tx-a",
        "AutoimmuneDiseaseLabel": "Systemic Lupus Erythematosus",
        "IsEffectiveTreatment": true,
        "IsMechanismMatched": true,
        "IsTreatmentResponsePredicted": true,
        "TreatmentResponseDecidingFactor": "EffectiveOnConfirmedMechanism"
      },
      {
        "TreatmentId": "tx-b",
        "TreatmentLabel": "Anifrolumab (anti-IFNAR1)",
        "Individual": "ind-b-okafor",
        "AutoimmuneDisease": "sle",
        "TargetsMechanism": "cm-b",
        "TreatmentResponse": "Complete",
        "HasTreatmentInducedChange": true,
        "HasAdverseEffect": false,
        "StartDate": "2024-04-01",
        "Name": "Anifrolumab (anti-IFNAR1)",
        "ParentPath": "/intake/new-patient/okafor-bili",
        "RelativePath": "/intake/new-patient/okafor-bili/treatments/tx-b",
        "AutoimmuneDiseaseLabel": "Systemic Lupus Erythematosus",
        "IsEffectiveTreatment": true,
        "IsMechanismMatched": true,
        "IsTreatmentResponsePredicted": true,
        "TreatmentResponseDecidingFactor": "EffectiveOnConfirmedMechanism"
      },
      {
        "TreatmentId": "tx-c",
        "TreatmentLabel": "STAT4-pathway inhibitor (trial)",
        "Individual": "ind-c-chen",
        "AutoimmuneDisease": "sle",
        "TargetsMechanism": "cm-c",
        "TreatmentResponse": "Partial",
        "HasTreatmentInducedChange": true,
        "HasAdverseEffect": false,
        "StartDate": "2024-04-01",
        "Name": "STAT4-pathway inhibitor (trial)",
        "ParentPath": "/intake/new-patient/wei-chen",
        "RelativePath": "/intake/new-patient/wei-chen/treatments/tx-c",
        "AutoimmuneDiseaseLabel": "Systemic Lupus Erythematosus",
        "IsEffectiveTreatment": true,
        "IsMechanismMatched": false,
        "IsTreatmentResponsePredicted": false,
        "TreatmentResponseDecidingFactor": "NoConfirmedMechanism"
      },
      {
        "TreatmentId": "tx-d",
        "TreatmentLabel": "Anifrolumab (anti-IFNAR1)",
        "Individual": "ind-d-santos",
        "AutoimmuneDisease": "sle",
        "TargetsMechanism": "cm-d",
        "TreatmentResponse": "Complete",
        "HasTreatmentInducedChange": true,
        "HasAdverseEffect": true,
        "StartDate": "2024-04-01",
        "Name": "Anifrolumab (anti-IFNAR1)",
        "ParentPath": "/intake/new-patient/santos-diego",
        "RelativePath": "/intake/new-patient/santos-diego/treatments/tx-d",
        "AutoimmuneDiseaseLabel": "Systemic Lupus Erythematosus",
        "IsEffectiveTreatment": false,
        "IsMechanismMatched": true,
        "IsTreatmentResponsePredicted": false,
        "TreatmentResponseDecidingFactor": "AdverseEffect"
      },
      {
        "TreatmentId": "tx-e",
        "TreatmentLabel": "CTLA4-Ig (abatacept, off-target)",
        "Individual": "ind-e-mensah",
        "AutoimmuneDisease": "sle",
        "TargetsMechanism": "cm-e",
        "TreatmentResponse": "None",
        "HasTreatmentInducedChange": false,
        "HasAdverseEffect": false,
        "StartDate": "2024-04-01",
        "Name": "CTLA4-Ig (abatacept, off-target)",
        "ParentPath": "/intake/new-patient/mensah-esi",
        "RelativePath": "/intake/new-patient/mensah-esi/treatments/tx-e",
        "AutoimmuneDiseaseLabel": "Systemic Lupus Erythematosus",
        "IsEffectiveTreatment": false,
        "IsMechanismMatched": false,
        "IsTreatmentResponsePredicted": false,
        "TreatmentResponseDecidingFactor": "NoConfirmedMechanism"
      },
      {
        "TreatmentId": "tx-f",
        "TreatmentLabel": "Secukinumab (anti-IL-17)",
        "Individual": "ind-f-haidar",
        "AutoimmuneDisease": "psa",
        "TargetsMechanism": "cm-f",
        "TreatmentResponse": "None",
        "HasTreatmentInducedChange": false,
        "HasAdverseEffect": false,
        "StartDate": "2024-04-01",
        "Name": "Secukinumab (anti-IL-17)",
        "ParentPath": "/intake/new-patient/haidar-faisal",
        "RelativePath": "/intake/new-patient/haidar-faisal/treatments/tx-f",
        "AutoimmuneDiseaseLabel": "Psoriatic Arthritis",
        "IsEffectiveTreatment": false,
        "IsMechanismMatched": true,
        "IsTreatmentResponsePredicted": false,
        "TreatmentResponseDecidingFactor": "NoResponse"
      },
      {
        "TreatmentId": "tx-g",
        "TreatmentLabel": "Secukinumab (anti-IL-17)",
        "Individual": "ind-g-lin",
        "AutoimmuneDisease": "psa",
        "TargetsMechanism": "cm-g",
        "TreatmentResponse": "Partial",
        "HasTreatmentInducedChange": true,
        "HasAdverseEffect": false,
        "StartDate": "2024-04-01",
        "Name": "Secukinumab (anti-IL-17)",
        "ParentPath": "/intake/new-patient/lin-grace",
        "RelativePath": "/intake/new-patient/lin-grace/treatments/tx-g",
        "AutoimmuneDiseaseLabel": "Psoriatic Arthritis",
        "IsEffectiveTreatment": true,
        "IsMechanismMatched": true,
        "IsTreatmentResponsePredicted": true,
        "TreatmentResponseDecidingFactor": "EffectiveOnConfirmedMechanism"
      },
      {
        "TreatmentId": "tx-h",
        "TreatmentLabel": "Anifrolumab (anti-IFNAR1)",
        "Individual": "ind-h-yamamoto",
        "AutoimmuneDisease": "sle",
        "TargetsMechanism": "cm-h",
        "TreatmentResponse": "Partial",
        "HasTreatmentInducedChange": true,
        "HasAdverseEffect": false,
        "StartDate": "2024-04-01",
        "Name": "Anifrolumab (anti-IFNAR1)",
        "ParentPath": "/intake/new-patient/yamamoto-hana",
        "RelativePath": "/intake/new-patient/yamamoto-hana/treatments/tx-h",
        "AutoimmuneDiseaseLabel": "Systemic Lupus Erythematosus",
        "IsEffectiveTreatment": true,
        "IsMechanismMatched": true,
        "IsTreatmentResponsePredicted": true,
        "TreatmentResponseDecidingFactor": "EffectiveOnConfirmedMechanism",
        "CreatedBy": "v2-step10",
        "CreatedAt": "2026-06-20T00:00:00Z",
        "ModifiedBy": "v2-step10",
        "ModifiedAt": "2026-06-20T00:00:00Z",
        "ModifiedByModel": "claude-opus-4-8"
      },
      {
        "TreatmentId": "tx-i",
        "TreatmentLabel": "Anifrolumab (anti-IFNAR1)",
        "Individual": "ind-i-conteh",
        "AutoimmuneDisease": "sle",
        "TargetsMechanism": "cm-i",
        "TreatmentResponse": "Complete",
        "HasTreatmentInducedChange": true,
        "HasAdverseEffect": true,
        "StartDate": "2024-04-01",
        "Name": "Anifrolumab (anti-IFNAR1)",
        "ParentPath": "/intake/new-patient/conteh-ibrahim",
        "RelativePath": "/intake/new-patient/conteh-ibrahim/treatments/tx-i",
        "AutoimmuneDiseaseLabel": "Systemic Lupus Erythematosus",
        "IsEffectiveTreatment": false,
        "IsMechanismMatched": true,
        "IsTreatmentResponsePredicted": false,
        "TreatmentResponseDecidingFactor": "AdverseEffect",
        "CreatedBy": "v2-step10",
        "CreatedAt": "2026-06-20T00:00:00Z",
        "ModifiedBy": "v2-step10",
        "ModifiedAt": "2026-06-20T00:00:00Z",
        "ModifiedByModel": "claude-opus-4-8"
      },
      {
        "TreatmentId": "tx-j",
        "TreatmentLabel": "Anifrolumab (anti-IFNAR1)",
        "Individual": "ind-j-brooks",
        "AutoimmuneDisease": "sle",
        "TargetsMechanism": "cm-j",
        "TreatmentResponse": "Complete",
        "HasTreatmentInducedChange": true,
        "HasAdverseEffect": false,
        "StartDate": "2024-04-01",
        "Name": "Anifrolumab (anti-IFNAR1)",
        "ParentPath": "/intake/new-patient/brooks-jamal",
        "RelativePath": "/intake/new-patient/brooks-jamal/treatments/tx-j",
        "AutoimmuneDiseaseLabel": "Systemic Lupus Erythematosus",
        "IsEffectiveTreatment": true,
        "IsMechanismMatched": true,
        "IsTreatmentResponsePredicted": true,
        "TreatmentResponseDecidingFactor": "EffectiveOnConfirmedMechanism",
        "CreatedBy": "v2-step10",
        "CreatedAt": "2026-06-20T00:00:00Z",
        "ModifiedBy": "v2-step10",
        "ModifiedAt": "2026-06-20T00:00:00Z",
        "ModifiedByModel": "claude-opus-4-8"
      },
      {
        "TreatmentId": "tx-k",
        "TreatmentLabel": "Secukinumab (anti-IL-17)",
        "Individual": "ind-k-nair",
        "AutoimmuneDisease": "psa",
        "TargetsMechanism": "cm-k",
        "TreatmentResponse": "None",
        "HasTreatmentInducedChange": false,
        "HasAdverseEffect": false,
        "StartDate": "2024-04-01",
        "Name": "Secukinumab (anti-IL-17)",
        "ParentPath": "/intake/new-patient/nair-kavya",
        "RelativePath": "/intake/new-patient/nair-kavya/treatments/tx-k",
        "AutoimmuneDiseaseLabel": "Psoriatic Arthritis",
        "IsEffectiveTreatment": false,
        "IsMechanismMatched": true,
        "IsTreatmentResponsePredicted": false,
        "TreatmentResponseDecidingFactor": "NoResponse",
        "CreatedBy": "v2-step10",
        "CreatedAt": "2026-06-20T00:00:00Z",
        "ModifiedBy": "v2-step10",
        "ModifiedAt": "2026-06-20T00:00:00Z",
        "ModifiedByModel": "claude-opus-4-8"
      },
      {
        "TreatmentId": "tx-l",
        "TreatmentLabel": "Secukinumab (anti-IL-17)",
        "Individual": "ind-l-brandt",
        "AutoimmuneDisease": "psa",
        "TargetsMechanism": "cm-l",
        "TreatmentResponse": "Partial",
        "HasTreatmentInducedChange": true,
        "HasAdverseEffect": false,
        "StartDate": "2024-04-01",
        "Name": "Secukinumab (anti-IL-17)",
        "ParentPath": "/intake/new-patient/brandt-lena",
        "RelativePath": "/intake/new-patient/brandt-lena/treatments/tx-l",
        "AutoimmuneDiseaseLabel": "Psoriatic Arthritis",
        "IsEffectiveTreatment": true,
        "IsMechanismMatched": true,
        "IsTreatmentResponsePredicted": true,
        "TreatmentResponseDecidingFactor": "EffectiveOnConfirmedMechanism",
        "CreatedBy": "v2-step10",
        "CreatedAt": "2026-06-20T00:00:00Z",
        "ModifiedBy": "v2-step10",
        "ModifiedAt": "2026-06-20T00:00:00Z",
        "ModifiedByModel": "claude-opus-4-8"
      }
    ]
  },
  "ClinicalPhenotypes": {
    "Description": "Clinical phenotypes including severity, immune dysfunction markers, and feedback from disease progression.",
    "schema": [
      {
        "name": "ClinicalPhenotypeId",
        "datatype": "string",
        "type": "raw",
        "nullable": false,
        "Description": "Stable identifier for each phenotype measurement."
      },
      {
        "name": "PhenotypeLabel",
        "datatype": "string",
        "type": "raw",
        "nullable": false,
        "Description": "Phenotype name."
      },
      {
        "name": "Individual",
        "datatype": "string",
        "type": "raw",
        "nullable": false,
        "Description": "Individual measured."
      },
      {
        "name": "AutoimmuneDisease",
        "datatype": "string",
        "type": "raw",
        "nullable": false,
        "Description": "Related autoimmune disease."
      },
      {
        "name": "DiseaseStage",
        "datatype": "string",
        "type": "raw",
        "nullable": true,
        "Description": "Disease stage at measurement."
      },
      {
        "name": "Tissue",
        "datatype": "string",
        "type": "raw",
        "nullable": true,
        "Description": "Tissue context if applicable."
      },
      {
        "name": "SeverityScore",
        "datatype": "number",
        "type": "raw",
        "nullable": false,
        "Description": "Disease severity (0-10)."
      },
      {
        "name": "MeasurementDate",
        "datatype": "datetime",
        "type": "raw",
        "nullable": true,
        "Description": "Date of phenotype assessment."
      },
      {
        "name": "HasImmuneDysfunction",
        "datatype": "boolean",
        "type": "raw",
        "nullable": false,
        "Description": "True when immune dysfunction markers elevated."
      },
      {
        "name": "Name",
        "datatype": "string",
        "type": "calculated",
        "nullable": true,
        "Description": "Display label.",
        "formula": "={{PhenotypeLabel}}"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ClinicalPhenotype page, chained under its Individual parent.",
        "formula": "={{ParentPath}} &amp; \"/phenotypes/\" &amp; {{ClinicalPhenotypeId}}"
      },
      {
        "name": "DiseaseStageLabel",
        "datatype": "string",
        "type": "calculated",
        "nullable": true,
        "Description": "Stage label lookup.",
        "formula": "=IF({{DiseaseStage}} = \"\", \"\", INDEX(DiseaseStages!{{StageLabel}}, MATCH({{DiseaseStage}}, DiseaseStages!{{DiseaseStageId}}, 0)))"
      },
      {
        "name": "IsHighSeverity",
        "datatype": "boolean",
        "type": "calculated",
        "nullable": true,
        "Description": "True when severity exceeds 7.",
        "formula": "=IF({{SeverityScore}} &gt; 7, TRUE(), FALSE())"
      },
      {
        "name": "IsPresymptomaticPhenotype",
        "datatype": "boolean",
        "type": "calculated",
        "nullable": true,
        "Description": "True when stage is presymptomatic.",
        "formula": "=IF({{DiseaseStageLabel}} = \"Presymptomatic\", TRUE(), FALSE())"
      }
    ],
    "data": [
      {
        "ClinicalPhenotypeId": "ph-sev-a",
        "PhenotypeLabel": "Active SLE — high disease-activity (SLEDAI-equiv) severity",
        "Individual": "ind-a-reyes",
        "AutoimmuneDisease": "sle",
        "DiseaseStage": "sle-active",
        "Tissue": "blood",
        "SeverityScore": 9,
        "MeasurementDate": "2024-03-01",
        "HasImmuneDysfunction": true,
        "Name": "Active SLE — high disease-activity (SLEDAI-equiv) severity",
        "ParentPath": "/intake/new-patient/reyes-ana",
        "RelativePath": "/intake/new-patient/reyes-ana/phenotypes/ph-sev-a",
        "DiseaseStageLabel": "Active",
        "IsHighSeverity": true,
        "IsPresymptomaticPhenotype": false
      },
      {
        "ClinicalPhenotypeId": "ph-sev-b",
        "PhenotypeLabel": "Active SLE — serositis + high disease activity",
        "Individual": "ind-b-okafor",
        "AutoimmuneDisease": "sle",
        "DiseaseStage": "sle-active",
        "Tissue": "blood",
        "SeverityScore": 8,
        "MeasurementDate": "2024-03-01",
        "HasImmuneDysfunction": true,
        "Name": "Active SLE — serositis + high disease activity",
        "ParentPath": "/intake/new-patient/okafor-bili",
        "RelativePath": "/intake/new-patient/okafor-bili/phenotypes/ph-sev-b",
        "DiseaseStageLabel": "Active",
        "IsHighSeverity": true,
        "IsPresymptomaticPhenotype": false
      },
      {
        "ClinicalPhenotypeId": "ph-sev-c",
        "PhenotypeLabel": "Active SLE — arthritis + anti-dsDNA high activity",
        "Individual": "ind-c-chen",
        "AutoimmuneDisease": "sle",
        "DiseaseStage": "sle-active",
        "Tissue": "blood",
        "SeverityScore": 9,
        "MeasurementDate": "2024-03-01",
        "HasImmuneDysfunction": true,
        "Name": "Active SLE — arthritis + anti-dsDNA high activity",
        "ParentPath": "/intake/new-patient/wei-chen",
        "RelativePath": "/intake/new-patient/wei-chen/phenotypes/ph-sev-c",
        "DiseaseStageLabel": "Active",
        "IsHighSeverity": true,
        "IsPresymptomaticPhenotype": false
      },
      {
        "ClinicalPhenotypeId": "ph-sev-d",
        "PhenotypeLabel": "Active SLE — biopsy-confirmed nephritis (high severity)",
        "Individual": "ind-d-santos",
        "AutoimmuneDisease": "sle",
        "DiseaseStage": "sle-active",
        "Tissue": "kidney",
        "SeverityScore": 8,
        "MeasurementDate": "2024-03-01",
        "HasImmuneDysfunction": true,
        "Name": "Active SLE — biopsy-confirmed nephritis (high severity)",
        "ParentPath": "/intake/new-patient/santos-diego",
        "RelativePath": "/intake/new-patient/santos-diego/phenotypes/ph-sev-d",
        "DiseaseStageLabel": "Active",
        "IsHighSeverity": true,
        "IsPresymptomaticPhenotype": false
      },
      {
        "ClinicalPhenotypeId": "ph-sev-e",
        "PhenotypeLabel": "SLE — mild cytopenias, low disease activity",
        "Individual": "ind-e-mensah",
        "AutoimmuneDisease": "sle",
        "DiseaseStage": "sle-active",
        "Tissue": "blood",
        "SeverityScore": 3,
        "MeasurementDate": "2024-03-01",
        "HasImmuneDysfunction": true,
        "Name": "SLE — mild cytopenias, low disease activity",
        "ParentPath": "/intake/new-patient/mensah-esi",
        "RelativePath": "/intake/new-patient/mensah-esi/phenotypes/ph-sev-e",
        "DiseaseStageLabel": "Active",
        "IsHighSeverity": false,
        "IsPresymptomaticPhenotype": false
      },
      {
        "ClinicalPhenotypeId": "ph-sev-f",
        "PhenotypeLabel": "PsA — minimal joint involvement, mild",
        "Individual": "ind-f-haidar",
        "AutoimmuneDisease": "psa",
        "DiseaseStage": "psa-active",
        "Tissue": "synovium",
        "SeverityScore": 2,
        "MeasurementDate": "2024-03-01",
        "HasImmuneDysfunction": true,
        "Name": "PsA — minimal joint involvement, mild",
        "ParentPath": "/intake/new-patient/haidar-faisal",
        "RelativePath": "/intake/new-patient/haidar-faisal/phenotypes/ph-sev-f",
        "DiseaseStageLabel": "Active",
        "IsHighSeverity": false,
        "IsPresymptomaticPhenotype": false
      },
      {
        "ClinicalPhenotypeId": "ph-sev-g",
        "PhenotypeLabel": "PsA — moderate plaque + oligoarthritis",
        "Individual": "ind-g-lin",
        "AutoimmuneDisease": "psa",
        "DiseaseStage": "psa-active",
        "Tissue": "skin",
        "SeverityScore": 6,
        "MeasurementDate": "2024-03-01",
        "HasImmuneDysfunction": true,
        "Name": "PsA — moderate plaque + oligoarthritis",
        "ParentPath": "/intake/new-patient/lin-grace",
        "RelativePath": "/intake/new-patient/lin-grace/phenotypes/ph-sev-g",
        "DiseaseStageLabel": "Active",
        "IsHighSeverity": false,
        "IsPresymptomaticPhenotype": false
      },
      {
        "ClinicalPhenotypeId": "ph-sev-h",
        "PhenotypeLabel": "Active SLE — high disease-activity (SLEDAI-equiv) severity",
        "Individual": "ind-h-yamamoto",
        "AutoimmuneDisease": "sle",
        "DiseaseStage": "sle-active",
        "Tissue": "blood",
        "SeverityScore": 9,
        "MeasurementDate": "2024-03-01",
        "HasImmuneDysfunction": true,
        "Name": "Active SLE — high disease-activity (SLEDAI-equiv) severity",
        "ParentPath": "/intake/new-patient/yamamoto-hana",
        "RelativePath": "/intake/new-patient/yamamoto-hana/phenotypes/ph-sev-h",
        "DiseaseStageLabel": "Active",
        "IsHighSeverity": true,
        "IsPresymptomaticPhenotype": false,
        "CreatedBy": "v2-step10",
        "CreatedAt": "2026-06-20T00:00:00Z",
        "ModifiedBy": "v2-step10",
        "ModifiedAt": "2026-06-20T00:00:00Z",
        "ModifiedByModel": "claude-opus-4-8"
      },
      {
        "ClinicalPhenotypeId": "ph-sev-i",
        "PhenotypeLabel": "Active SLE — biopsy-confirmed nephritis (high severity)",
        "Individual": "ind-i-conteh",
        "AutoimmuneDisease": "sle",
        "DiseaseStage": "sle-active",
        "Tissue": "kidney",
        "SeverityScore": 8,
        "MeasurementDate": "2024-03-01",
        "HasImmuneDysfunction": true,
        "Name": "Active SLE — biopsy-confirmed nephritis (high severity)",
        "ParentPath": "/intake/new-patient/conteh-ibrahim",
        "RelativePath": "/intake/new-patient/conteh-ibrahim/phenotypes/ph-sev-i",
        "DiseaseStageLabel": "Active",
        "IsHighSeverity": true,
        "IsPresymptomaticPhenotype": false,
        "CreatedBy": "v2-step10",
        "CreatedAt": "2026-06-20T00:00:00Z",
        "ModifiedBy": "v2-step10",
        "ModifiedAt": "2026-06-20T00:00:00Z",
        "ModifiedByModel": "claude-opus-4-8"
      },
      {
        "ClinicalPhenotypeId": "ph-sev-j",
        "PhenotypeLabel": "Active SLE — serositis + high disease activity",
        "Individual": "ind-j-brooks",
        "AutoimmuneDisease": "sle",
        "DiseaseStage": "sle-active",
        "Tissue": "blood",
        "SeverityScore": 8,
        "MeasurementDate": "2024-03-01",
        "HasImmuneDysfunction": true,
        "Name": "Active SLE — serositis + high disease activity",
        "ParentPath": "/intake/new-patient/brooks-jamal",
        "RelativePath": "/intake/new-patient/brooks-jamal/phenotypes/ph-sev-j",
        "DiseaseStageLabel": "Active",
        "IsHighSeverity": true,
        "IsPresymptomaticPhenotype": false,
        "CreatedBy": "v2-step10",
        "CreatedAt": "2026-06-20T00:00:00Z",
        "ModifiedBy": "v2-step10",
        "ModifiedAt": "2026-06-20T00:00:00Z",
        "ModifiedByModel": "claude-opus-4-8"
      },
      {
        "ClinicalPhenotypeId": "ph-sev-k",
        "PhenotypeLabel": "PsA — minimal joint involvement, mild",
        "Individual": "ind-k-nair",
        "AutoimmuneDisease": "psa",
        "DiseaseStage": "psa-active",
        "Tissue": "synovium",
        "SeverityScore": 2,
        "MeasurementDate": "2024-03-01",
        "HasImmuneDysfunction": true,
        "Name": "PsA — minimal joint involvement, mild",
        "ParentPath": "/intake/new-patient/nair-kavya",
        "RelativePath": "/intake/new-patient/nair-kavya/phenotypes/ph-sev-k",
        "DiseaseStageLabel": "Active",
        "IsHighSeverity": false,
        "IsPresymptomaticPhenotype": false,
        "CreatedBy": "v2-step10",
        "CreatedAt": "2026-06-20T00:00:00Z",
        "ModifiedBy": "v2-step10",
        "ModifiedAt": "2026-06-20T00:00:00Z",
        "ModifiedByModel": "claude-opus-4-8"
      },
      {
        "ClinicalPhenotypeId": "ph-sev-l",
        "PhenotypeLabel": "PsA — moderate plaque + oligoarthritis",
        "Individual": "ind-l-brandt",
        "AutoimmuneDisease": "psa",
        "DiseaseStage": "psa-active",
        "Tissue": "skin",
        "SeverityScore": 6,
        "MeasurementDate": "2024-03-01",
        "HasImmuneDysfunction": true,
        "Name": "PsA — moderate plaque + oligoarthritis",
        "ParentPath": "/intake/new-patient/brandt-lena",
        "RelativePath": "/intake/new-patient/brandt-lena/phenotypes/ph-sev-l",
        "DiseaseStageLabel": "Active",
        "IsHighSeverity": false,
        "IsPresymptomaticPhenotype": false,
        "CreatedBy": "v2-step10",
        "CreatedAt": "2026-06-20T00:00:00Z",
        "ModifiedBy": "v2-step10",
        "ModifiedAt": "2026-06-20T00:00:00Z",
        "ModifiedByModel": "claude-opus-4-8"
      }
    ]
  },
  "CausalMechanisms": {
    "Description": "Inferred causal mechanisms linking variants, exposures, and molecular state to clinical phenotypes; must be experimentally falsifiable.",
    "schema": [
      {
        "name": "CausalMechanismId",
        "datatype": "string",
        "type": "raw",
        "nullable": false,
        "Description": "Stable identifier for each causal mechanism hypothesis."
      },
      {
        "name": "MechanismLabel",
        "datatype": "string",
        "type": "raw",
        "nullable": false,
        "Description": "Human-readable mechanism description."
      },
      {
        "name": "Individual",
        "datatype": "string",
        "type": "raw",
        "nullable": false,
        "Description": "Individual for whom mechanism is inferred."
      },
      {
        "name": "GenomicVariant",
        "datatype": "string",
        "type": "raw",
        "nullable": true,
        "Description": "Primary genomic variant if applicable."
      },
      {
        "name": "EnvironmentalExposure",
        "datatype": "string",
        "type": "raw",
        "nullable": true,
        "Description": "Environmental exposure if gene-environment interaction."
      },
      {
        "name": "MechanismType",
        "datatype": "string",
        "type": "raw",
        "nullable": false,
        "Description": "Type: regulatory, coding, gene-environment-microbiome, epigenetic-inheritance, enhancer-promoter, feedback."
      },
      {
        "name": "TargetPathway",
        "datatype": "string",
        "type": "raw",
        "nullable": true,
        "Description": "NEW RAW LEAF: druggable pathway this confirmed mechanism implicates (type-I-IFN / B-cell/autoantibody / T-cell-costim / IL-17/23). Drives treatment-line selection. An observation about the mechanism, not derived."
      },
      {
        "name": "TargetPathwayCode",
        "datatype": "number",
        "type": "calculated",
        "nullable": true,
        "Description": "Numeric encoding of TargetPathway so the individual can resolve it via a MAXIFS aggregation (transpiler-friendly). 1=type-I-IFN 2=B-cell 3=T-cell 4=IL-17/23.",
        "formula": "=IF({{TargetPathway}}=\"type-I-IFN\",1,IF({{TargetPathway}}=\"B-cell/autoantibody\",2,IF({{TargetPathway}}=\"T-cell-costim\",3,IF({{TargetPathway}}=\"IL-17/23\",4,0))))"
      },
      {
        "name": "HasPleiotropy",
        "datatype": "boolean",
        "type": "raw",
        "nullable": false,
        "Description": "True when mechanism shows pleiotropy across phenotypes."
      },
      {
        "name": "Name",
        "datatype": "string",
        "type": "calculated",
        "nullable": true,
        "Description": "Display label.",
        "formula": "={{MechanismLabel}}"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CausalMechanism page, chained under its Individual parent.",
        "formula": "={{ParentPath}} &amp; \"/mechanisms/\" &amp; {{CausalMechanismId}}"
      },
      {
        "name": "IndividualAncestryLabel",
        "datatype": "string",
        "type": "calculated",
        "nullable": true,
        "Description": "Ancestry lookup.",
        "formula": "=INDEX(Individuals!{{AncestryLabel}}, MATCH({{Individual}}, Individuals!{{IndividualId}}, 0))"
      },
      {
        "name": "CountQualifiedEvidence",
        "datatype": "integer",
        "type": "aggregation",
        "nullable": true,
        "Description": "Count of qualified evidence items supporting this mechanism.",
        "formula": "=COUNTIFS(EvidenceItems!{{CausalMechanism}}, {{CausalMechanismId}}, EvidenceItems!{{IsQualifiedEvidence}}, TRUE())"
      },
      {
        "name": "CountModalitiesSupporting",
        "datatype": "integer",
        "type": "aggregation",
        "nullable": true,
        "Descrip</t>
  </si>
  <si>
    <t xml:space="preserve">tion": "Count of qualified cross-modality evidence items (multi-omic corroboration).",
        "formula": "=COUNTIFS(EvidenceItems!{{CausalMechanism}}, {{CausalMechanismId}}, EvidenceItems!{{IsCrossModality}}, TRUE(), EvidenceItems!{{IsQualifiedEvidence}}, TRUE())"
      },
      {
        "name": "CountInterventionTargets",
        "datatype": "integer",
        "type": "aggregation",
        "nullable": true,
        "Description": "Count of perturbable intervention targets for this mechanism (falsifiability requires &gt;=1).",
        "formula": "=COUNTIFS(InterventionTargets!{{CausalMechanism}}, {{CausalMechanismId}})"
      },
      {
        "name": "IsExperimentallyFalsifiable",
        "datatype": "boolean",
        "type": "calculated",
        "nullable": true,
        "Description": "Derived: a measurable qualified effect exists AND a named intervention can perturb it.",
        "formula": "=IF(AND({{CountInterventionTargets}} &gt;= 1, {{CountQualifiedEvidence}} &gt;= 1), TRUE(), FALSE())"
      },
      {
        "name": "CountReplications",
        "datatype": "integer",
        "type": "aggregation",
        "nullable": true,
        "Description": "Total cross-cohort re-tests of this mechanism.",
        "formula": "=COUNTIFS(CohortReplications!{{CausalMechanism}}, {{CausalMechanismId}})"
      },
      {
        "name": "CountConcordantReplications",
        "datatype": "integer",
        "type": "aggregation",
        "nullable": true,
        "Description": "Re-tests reproducing the predicted sign at significance.",
        "formula": "=COUNTIFS(CohortReplications!{{CausalMechanism}}, {{CausalMechanismId}}, CohortReplications!{{ReplicatedAtNominalSig}}, TRUE())"
      },
      {
        "name": "CountCrossAncestryConcordant",
        "datatype": "integer",
        "type": "aggregation",
        "nullable": true,
        "Description": "Concordant re-tests that ran in a DIFFERENT ancestry (the transportability measurement).",
        "formula": "=COUNTIFS(CohortReplications!{{CausalMechanism}}, {{CausalMechanismId}}, CohortReplications!{{IsCrossAncestryConcordant}}, TRUE())"
      },
      {
        "name": "ReplicationFraction",
        "datatype": "number",
        "type": "calculated",
        "nullable": true,
        "Description": "Derived: fraction of re-tests that were concordant (guarded division).",
        "formula": "=IF({{CountReplications}} &gt; 0, {{CountConcordantReplications}} / {{CountReplications}}, 0)"
      },
      {
        "name": "ReplicatesAcrossCohorts",
        "datatype": "boolean",
        "type": "calculated",
        "nullable": true,
        "Description": "Derived: &gt;=2 independent re-tests and &gt;=2 concordant.",
        "formula": "=IF(AND({{CountReplications}} &gt;= 2, {{CountConcordantReplications}} &gt;= 2), TRUE(), FALSE())"
      },
      {
        "name": "CountNegControlTests",
        "datatype": "integer",
        "type": "aggregation",
        "nullable": true,
        "Description": "Negative-control tests run on this mechanism.",
        "formula": "=COUNTIFS(NegativeControlTests!{{CausalMechanism}}, {{CausalMechanismId}})"
      },
      {
        "name": "CountNegControlSurvived",
        "datatype": "integer",
        "type": "aggregation",
        "nullable": true,
        "Description": "Negative-control tests the mechanism survived (collapsed under the null).",
        "formula": "=COUNTIFS(NegativeControlTests!{{CausalMechanism}}, {{CausalMechanismId}}, NegativeControlTests!{{IsSurvived}}, TRUE())"
      },
      {
        "name": "SurvivesNegativeControls",
        "datatype": "boolean",
        "type": "calculated",
        "nullable": true,
        "Description": "Derived: at least one control run AND all of them survived.",
        "formula": "=IF(AND({{CountNegControlTests}} &gt;= 1, {{CountNegControlSurvived}} = {{CountNegControlTests}}), TRUE(), FALSE())"
      },
      {
        "name": "IsSpuriousDerived",
        "datatype": "boolean",
        "type": "calculated",
        "nullable": true,
        "Description": "Derived: spurious unless replicated, survives controls, has &gt;=2 modalities, and is not purely pleiotropic.",
        "formula": "=IF(OR(NOT({{ReplicatesAcrossCohorts}}), NOT({{SurvivesNegativeControls}}), {{CountModalitiesSupporting}} &lt; 2, {{HasPleiotropy}}), TRUE(), FALSE())"
      },
      {
        "name": "CausalConfidence",
        "datatype": "number",
        "type": "calculated",
        "nullable": true,
        "Description": "Derived bounded blend of qualified-evidence count, modality breadth, replication rate, and control survival.",
        "formula": "=IF(((0.30 * IF({{CountQualifiedEvidence}} &gt;= 4, 1, {{CountQualifiedEvidence}} / 4)) + (0.20 * IF({{CountModalitiesSupporting}} &gt;= 3, 1, {{CountModalitiesSupporting}} / 3)) + (0.30 * {{ReplicationFraction}}) + (0.20 * IF({{SurvivesNegativeControls}}, 1, 0))) &gt; 1, 1, (0.30 * IF({{CountQualifiedEvidence}} &gt;= 4, 1, {{CountQualifiedEvidence}} / 4)) + (0.20 * IF({{CountModalitiesSupporting}} &gt;= 3, 1, {{CountModalitiesSupporting}} / 3)) + (0.30 * {{ReplicationFraction}}) + (0.20 * IF({{SurvivesNegativeControls}}, 1, 0)))"
      },
      {
        "name": "VariantIsCausalCandidate",
        "datatype": "boolean",
        "type": "lookup",
        "nullable": true,
        "Description": "Whether the linked variant is itself a derived causal candidate (empty-guarded).",
        "formula": "=IF({{GenomicVariant}} = \"\", FALSE(), INDEX(GenomicVariants!{{IsCausalCandidate}}, MATCH({{GenomicVariant}}, GenomicVariants!{{GenomicVariantId}}, 0)))"
      },
      {
        "name": "IsCausalArchitectureNode",
        "datatype": "boolean",
        "type": "calculated",
        "nullable": true,
        "Description": "Derived: a confirmed causal edge - confident, falsifiable, non-spurious, and grounded in a candidate variant or a real exposure.",
        "formula": "=IF(AND({{CausalConfidence}} &gt;= 0.7, {{IsExperimentallyFalsifiable}}, NOT({{IsSpuriousDerived}}), OR({{VariantIsCausalCandidate}}, {{EnvironmentalExposure}} &lt;&gt; \"\")), TRUE(), FALSE())"
      },
      {
        "name": "IsAncestryTransportable",
        "datatype": "boolean",
        "type": "calculated",
        "nullable": true,
        "Description": "Derived: a confirmed node whose effect replicated in &gt;=1 different ancestry (measured invariance).",
        "formula": "=IF(AND({{IsCausalArchitectureNode}}, {{CountCrossAncestryConcordant}} &gt;= 1), TRUE(), FALSE())"
      },
      {
        "name": "InterventionTargets",
        "datatype": "string",
        "type": "relationship",
        "nullable": true,
        "Description": "Intervention targets derived from this mechanism.",
        "RelatedTo": "InterventionTargets"
      },
      {
        "name": "EvidenceItems",
        "datatype": "string",
        "type": "relationship",
        "nullable": true,
        "Description": "Evidence items supporting this mechanism.",
        "RelatedTo": "EvidenceItems"
      },
      {
        "name": "CohortReplications",
        "datatype": "string",
        "type": "relationship",
        "nullable": true,
        "Description": "Cross-cohort replications of this mechanism.",
        "RelatedTo": "CohortReplications"
      },
      {
        "name": "NegativeControlTests",
        "datatype": "string",
        "type": "relationship",
        "nullable": true,
        "Description": "Negative-control tests on this mechanism.",
        "RelatedTo": "NegativeControlTests"
      }
    ],
    "data": [
      {
        "CausalMechanismId": "cm-a",
        "MechanismLabel": "IRF5 regulatory -&gt; type-I IFN -&gt; SLE risk",
        "Individual": "ind-a-reyes",
        "GenomicVariant": "var-a-irf5",
        "EnvironmentalExposure": "",
        "MechanismType": "regulatory",
        "HasPleiotropy": false,
        "Name": "IRF5 regulatory -&gt; type-I IFN -&gt; SLE risk",
        "ParentPath": "/intake/new-patient/reyes-ana",
        "RelativePath": "/intake/new-patient/reyes-ana/mechanisms/cm-a",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"type-I-IFN",
        "TargetPathwayCode": 1
      },
      {
        "CausalMechanismId": "cm-b",
        "MechanismLabel": "IRF5 regulatory -&gt; type-I IFN -&gt; SLE risk",
        "Individual": "ind-b-okafor",
        "GenomicVariant": "var-b-irf5",
        "EnvironmentalExposure": "",
        "MechanismType": "regulatory",
        "HasPleiotropy": false,
        "Name": "IRF5 regulatory -&gt; type-I IFN -&gt; SLE risk",
        "ParentPath": "/intake/new-patient/okafor-bili",
        "RelativePath": "/intake/new-patient/okafor-bili/mechanisms/cm-b",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"type-I-IFN",
        "TargetPathwayCode": 1
      },
      {
        "CausalMechanismId": "cm-c",
        "MechanismLabel": "STAT4 regulatory -&gt; Th1/IFN -&gt; SLE risk",
        "Individual": "ind-c-chen",
        "GenomicVariant": "var-c-stat4",
        "EnvironmentalExposure": "",
        "MechanismType": "regulatory",
        "HasPleiotropy": false,
        "Name": "STAT4 regulatory -&gt; Th1/IFN -&gt; SLE risk",
        "ParentPath": "/intake/new-patient/wei-chen",
        "RelativePath": "/intake/new-patient/wei-chen/mechanisms/cm-c",
        "IndividualAncestryLabel": "East Asian",
        "CountQualifiedEvidence": 3,
        "CountModalitiesSupporting": 2,
        "CountInterventionTargets": 1,
        "IsExperimentallyFalsifiable": true,
        "CountReplications": 3,
        "CountConcordantReplications": 1,
        "CountCrossAncestryConcordant": 0,
        "ReplicationFraction": 0.3333333333333333,
        "ReplicatesAcrossCohorts": false,
        "CountNegControlTests": 2,
        "CountNegControlSurvived": 1,
        "SurvivesNegativeControls": false,
        "IsSpuriousDerived": true,
        "CausalConfidence": 0.4583333333333333,
        "VariantIsCausalCandidate": true,
        "IsCausalArchitectureNode": false,
        "IsAncestryTransportable": false,
        "InterventionTargets": null,
        "EvidenceItems": null,
        "CohortReplications": null,
        "NegativeControlTests": null,
        "TargetPathway": "B-cell/autoantibody",
        "TargetPathwayCode": 2
      },
      {
        "CausalMechanismId": "cm-d",
        "MechanismLabel": "IRF5 regulatory -&gt; type-I IFN -&gt; SLE risk",
        "Individual": "ind-d-santos",
        "GenomicVariant": "var-d-irf5",
        "EnvironmentalExposure": "",
        "MechanismType": "regulatory",
        "HasPleiotropy": false,
        "Name": "IRF5 regulatory -&gt; type-I IFN -&gt; SLE risk",
        "ParentPath": "/intake/new-patient/santos-diego",
        "RelativePath": "/intake/new-patient/santos-diego/mechanisms/cm-d",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"B-cell/autoantibody",
        "TargetPathwayCode": 2
      },
      {
        "CausalMechanismId": "cm-e",
        "MechanismLabel": "CTLA4 enhancer -&gt; T-cell costimulation -&gt; SLE risk",
        "Individual": "ind-e-mensah",
        "GenomicVariant": "var-e-ctla4",
        "EnvironmentalExposure": "",
        "MechanismType": "regulatory",
        "HasPleiotropy": false,
        "Name": "CTLA4 enhancer -&gt; T-cell costimulation -&gt; SLE risk",
        "ParentPath": "/intake/new-patient/mensah-esi",
        "RelativePath": "/intake/new-patient/mensah-esi/mechanisms/cm-e",
        "IndividualAncestryLabel": "African",
        "CountQualifiedEvidence": 3,
        "CountModalitiesSupporting": 2,
        "CountInterventionTargets": 0,
        "IsExperimentallyFalsifiable": false,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false,
        "IsAncestryTransportable": false,
        "InterventionTargets": null,
        "EvidenceItems": null,
        "CohortReplications": null,
        "NegativeControlTests": null,
        "TargetPathway": "T-cell-costim",
        "TargetPathwayCode": 3
      },
      {
        "CausalMechanismId": "cm-f",
        "MechanismLabel": "IL23R regulatory -&gt; IL-17 axis -&gt; PsA risk",
        "Individual": "ind-f-haidar",
        "GenomicVariant": "var-f-il23r",
        "EnvironmentalExposure": "",
        "MechanismType": "regulatory",
        "HasPleiotropy": false,
        "Name": "IL23R regulatory -&gt; IL-17 axis -&gt; PsA risk",
        "ParentPath": "/intake/new-patient/haidar-faisal",
        "RelativePath": "/intake/new-patient/haidar-faisal/mechanisms/cm-f",
        "IndividualAncestryLabel": "Indigenous American",
        "CountQualifiedEvidence": 3,
        "CountModalitiesSupporting": 2,
        "CountInterventionTargets": 1,
        "IsExperimentallyFalsifiable": true,
        "CountReplications": 3,
        "CountConcordantReplications": 3,
        "CountCrossAncestryConcordant": 0,
        "ReplicationFraction": 1,
        "ReplicatesAcrossCohorts": true,
        "CountNegControlTests": 2,
        "CountNegControlSurvived": 2,
        "SurvivesNegativeControls": true,
        "IsSpuriousDerived": false,
        "CausalConfidence": 0.8583333333333333,
        "VariantIsCausalCandidate": true,
        "IsCausalArchitectureNode": true,
        "IsAncestryTransportable": false,
        "InterventionTargets": null,
        "EvidenceItems": null,
        "CohortReplications": null,
        "NegativeControlTests": null,
        "TargetPathway": "IL-17/23",
        "TargetPathwayCode": 4
      },
      {
        "CausalMechanismId": "cm-g",
        "MechanismLabel": "IL23R regulatory -&gt; IL-17 axis -&gt; PsA risk",
        "Individual": "ind-g-lin",
        "GenomicVariant": "var-g-il23r",
        "EnvironmentalExposure": "",
        "MechanismType": "regulatory",
        "HasPleiotropy": false,
        "Name": "IL23R regulatory -&gt; IL-17 axis -&gt; PsA risk",
        "ParentPath": "/intake/new-patient/lin-grace",
        "RelativePath": "/intake/new-patient/lin-grace/mechanisms/cm-g",
        "IndividualAncestryLabel": "Indigenous American",
        "CountQualifiedEvidence": 3,
        "CountModalitiesSupporting": 2,
        "CountInterventionTargets": 1,
        "IsExperimentallyFalsifiable": true,
        "CountReplications": 3,
        "CountConcordantReplications": 3,
        "CountCrossAncestryConcordant": 2,
        "ReplicationFraction": 1,
        "ReplicatesAcrossCohorts": true,
        "CountNegControlTests": 2,
        "CountNegControlSurvived": 2,
        "SurvivesNegativeControls": true,
        "IsSpuriousDerived": false,
        "CausalConfidence": 0.8583333333333333,
        "VariantIsCausalCandidate": true,
        "IsCausalArchitectureNode": true,
        "IsAncestryTransportable": true,
        "InterventionTargets": null,
        "EvidenceItems": null,
        "CohortReplications": null,
        "NegativeControlTests": null,
        "TargetPathway": "IL-17/23",
        "TargetPathwayCode": 4
      },
      {
        "CausalMechanismId": "cm-h",
        "MechanismLabel": "IRF5 regulatory -&gt; type-I IFN -&gt; SLE risk",
        "Individual": "ind-h-yamamoto",
        "GenomicVariant": "var-h-irf5",
        "EnvironmentalExposure": "",
        "MechanismType": "regulatory",
        "HasPleiotropy": false,
        "Name": "IRF5 regulatory -&gt; type-I IFN -&gt; SLE risk",
        "ParentPath": "/intake/new-patient/yamamoto-hana",
        "RelativePath": "/intake/new-patient/yamamoto-hana/mechanisms/cm-h",
        "IndividualAncestryLabel": "East Asian",
        "CountQualifiedEvidence": 3,
        "CountModalitiesSupporting": 2,
        "CountInterventionTargets": 1,
        "IsExperimentallyFalsifiable": true,
        "CountReplications": 3,
        "CountConcordantReplications": 2,
        "CountCrossAncestryConcordant": 1,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"type-I-IFN",
        "CreatedBy": "v2-step10",
        "CreatedAt": "2026-06-20T00:00:00Z",
        "ModifiedBy": "v2-step10",
        "ModifiedAt": "2026-06-20T00:00:00Z",
        "ModifiedByModel": "claude-opus-4-8",
        "TargetPathwayCode": 1
      },
      {
        "CausalMechanismId": "cm-i",
        "MechanismLabel": "IRF5 regulatory -&gt; type-I IFN -&gt; SLE risk",
        "Individual": "ind-i-conteh",
        "GenomicVariant": "var-i-irf5",
        "EnvironmentalExposure": "",
        "MechanismType": "regulatory",
        "HasPleiotropy": false,
        "Name": "IRF5 regulatory -&gt; type-I IFN -&gt; SLE risk",
        "ParentPath": "/intake/new-patient/conteh-ibrahim",
        "RelativePath": "/intake/new-patient/conteh-ibrahim/mechanisms/cm-i",
        "IndividualAncestryLabel": "African",
        "CountQualifiedEvidence": 3,
        "CountModalitiesSupporting": 2,
        "CountInterventionTargets": 1,
        "IsExperimentallyFalsifiable": true,
        "CountReplications": 3,
        "CountConcordantReplications": 2,
        "CountCrossAncestryConcordant": 1,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"B-cell/autoantibody",
        "CreatedBy": "v2-step10",
        "CreatedAt": "2026-06-20T00:00:00Z",
        "ModifiedBy": "v2-step10",
        "ModifiedAt": "2026-06-20T00:00:00Z",
        "ModifiedByModel": "claude-opus-4-8",
        "TargetPathwayCode": 2
      },
      {
        "CausalMechanismId": "cm-j",
        "MechanismLabel": "IRF5 regulatory -&gt; type-I IFN -&gt; SLE risk",
        "Individual": "ind-j-brooks",
        "GenomicVariant": "var-j-irf5",
        "EnvironmentalExposure": "",
        "MechanismType": "regulatory",
        "HasPleiotropy": false,
        "Name": "IRF5 regulatory -&gt; type-I IFN -&gt; SLE risk",
        "ParentPath": "/intake/new-patient/brooks-jamal",
        "RelativePath": "/intake/new-patient/brooks-jamal/mechanisms/cm-j",
        "IndividualAncestryLabel": "Hispanic/Latino",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"TargetPathway": "type-I-IFN",
        "CreatedBy": "v2-step10",
        "CreatedAt": "2026-06-20T00:00:00Z",
        "ModifiedBy": "v2-step10",
        "ModifiedAt": "2026-06-20T00:00:00Z",
        "ModifiedByModel": "claude-opus-4-8",
        "TargetPathwayCode": 1
      },
      {
        "CausalMechanismId": "cm-k",
        "MechanismLabel": "IL23R regulatory -&gt; IL-17 axis -&gt; PsA risk",
        "Individual": "ind-k-nair",
        "GenomicVariant": "var-k-il23r",
        "EnvironmentalExposure": "",
        "MechanismType": "regulatory",
        "HasPleiotropy": false,
        "Name": "IL23R regulatory -&gt; IL-17 axis -&gt; PsA risk",
        "ParentPath": "/intake/new-patient/nair-kavya",
        "RelativePath": "/intake/new-patient/nair-kavya/mechanisms/cm-k",
        "IndividualAncestryLabel": "South Asian",
        "CountQualifiedEvidence": 3,
        "CountModalitiesSupporting": 2,
        "CountInterventionTargets": 1,
        "IsExperimentallyFalsifiable": true,
        "CountReplications": 3,
        "CountConcordantReplications": 3,
        "CountCrossAncestryConcordant": 0,
        "ReplicationFraction": 1,
        "ReplicatesAcrossCohorts": true,
        "CountNegControlTests": 2,
        "CountNegControlSurvived": 2,
        "SurvivesNegativeControls": true,
        "IsSpuriousDerived": false,
        "CausalConfidence": 0.8583333333333333,
        "VariantIsCausalCandidate": true,
        "IsCausalArchitectureNode": true,
        "IsAncestryTransportable": false,
        "InterventionTargets": null,
        "EvidenceItems": null,
        "CohortReplications": null,
        "NegativeControlTests": null,
        "TargetPathway": "IL-17/23",
        "CreatedBy": "v2-step10",
        "CreatedAt": "2026-06-20T00:00:00Z",
        "ModifiedBy": "v2-step10",
        "ModifiedAt": "2026-06-20T00:00:00Z",
        "ModifiedByModel": "claude-opus-4-8",
        "TargetPathwayCode": 4
      },
      {
        "CausalMechanismId": "cm-l",
        "MechanismLabel": "IL23R regulatory -&gt; IL-17 axis -&gt; PsA risk",
        "Individual": "ind-l-brandt",
        "GenomicVariant": "var-l-il23r",
        "EnvironmentalExposure": "",
        "MechanismType": "regulatory",
        "HasPleiotropy": false,
        "Name": "IL23R regulatory -&gt; IL-17 axis -&gt; PsA risk",
        "ParentPath": "/intake/new-patient/brandt-lena",
        "RelativePath": "/intake/new-patient/brandt-lena/mechanisms/cm-l",
        "IndividualAncestryLabel": "Indigenous American",
        "CountQualifiedEvidence": 3,
        "CountModalitiesSupporting": 2,
        "CountInterventionTargets": 1,
        "IsExperimentallyFalsifiable": true,
        "CountReplications": 3,
        "CountConcordantReplications": 3,
        "CountCrossAncestryConcordant": 2,
        "ReplicationFraction": 1,
        "ReplicatesAcrossCohorts": true,
        "CountNegControlTests": 2,
        "CountNegControlSurvived": 2,
        "SurvivesNegativeControls": true,
        "IsSpuriousDerived": false,
        "CausalConfidence": 0.8583333333333333,
        "VariantIsCausalCandidate": true,
        "IsCausalArchitectureNode": true,
        "IsAncestryTransportable": true,
        "InterventionTargets": null,
        "EvidenceItems": null,
        "CohortReplications": null,
        "NegativeControlTests": null,
        "TargetPathway": "IL-17/23",
        "CreatedBy": "v2-step10",
        "CreatedAt": "2026-06-20T00:00:00Z",
        "ModifiedBy": "v2-step10",
        "ModifiedAt": "2026-06-20T00:00:00Z",
        "ModifiedByModel": "claude-opus-4-8",
        "TargetPathwayCode": 4
      }
    ]
  },
  "EpistaticInteractions": {
    "Description": "Higher-order epistasis and pleiotropy interactions between genomic variants.",
    "schema": [
      {
        "name": "EpistaticInteractionId",
        "datatype": "string",
        "type": "raw",
        "nullable": false,
        "Description": "Stable identifier for each epistatic interaction."
      },
      {
        "name": "InteractionLabel",
        "datatype": "string",
        "type": "raw",
        "nullable": false,
        "Description": "Human-readable interaction label."
      },
      {
        "name": "Individual",
        "datatype": "string",
        "type": "raw",
        "nullable": false,
        "Description": "Individual exhibiting interaction."
      },
      {
        "name": "PrimaryVariant",
        "datatype": "string",
        "type": "raw",
        "nullable": false,
        "Description": "First variant in interaction."
      },
      {
        "name": "SecondaryVariant",
        "datatype": "string",
        "type": "raw",
        "nullable": false,
        "Description": "Second variant in interaction."
      },
      {
        "name": "EpistasisScore",
        "datatype": "number",
        "type": "raw",
        "nullable": false,
        "Description": "Higher-order epistasis effect score (0-1)."
      },
      {
        "name": "HasPleiotropy",
        "datatype": "boolean",
        "type": "raw",
        "nullable": false,
        "Description": "True when interaction shows pleiotropy."
      },
      {
        "name": "Name",
        "datatype": "string",
        "type": "calculated",
        "nullable": true,
        "Description": "Display label.",
        "formula": "={{InteractionLabel}}"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EpistaticInteraction page, chained under its Individual parent.",
        "formula": "={{ParentPath}} &amp; \"/epistasis/\" &amp; {{EpistaticInteractionId}}"
      },
      {
        "name": "IsHighOrderEpistasis",
        "datatype": "boolean",
        "type": "calculated",
        "nullable": true,
        "Description": "True when epistasis score exceeds 0.5.",
        "formula": "=IF({{EpistasisScore}} &gt; 0.5, TRUE(), FALSE())"
      }
    ],
    "data": [
      {
        "EpistaticInteractionId": "epi-context",
        "InteractionLabel": "IRF5 x STAT4 (context only)",
        "Individual": "ind-a-reyes",
        "PrimaryVariant": "var-a-irf5",
        "SecondaryVariant": "var-c-stat4",
        "EpistasisScore": 0.4,
        "HasPleiotropy": false,
        "Name": "IRF5 x STAT4 (context only)",
        "ParentPath": "/intake/new-patient/reyes-ana",
        "RelativePath": "/intake/new-patient/reyes-ana/epistasis/epi-context",
        "IsHighOrderEpistasis": false
      }
    ]
  },
  "CounterfactualTrajectories": {
    "Description": "Counterfactual disease trajectories inferred without randomized perturbation data.",
    "schema": [
      {
        "name": "CounterfactualTrajectoryId",
        "datatype": "string",
        "type": "raw",
        "nullable": false,
        "Description": "Stable identifier for each counterfactual trajectory."
      },
      {
        "name": "TrajectoryLabel",
        "datatype": "string",
        "type": "raw",
        "nullable": false,
        "Description": "Description of hypothetical scenario."
      },
      {
        "name": "Individual",
        "datatype": "string",
        "type": "raw",
        "nullable": false,
        "Description": "Individual whose trajectory is modeled."
      },
      {
        "name": "AutoimmuneDisease",
        "datatype": "string",
        "type": "raw",
        "nullable": false,
        "Description": "Target autoimmune disease."
      },
      {
        "name": "ProjectedSeverity",
        "datatype": "number",
        "type": "raw",
        "nullable": false,
        "Description": "Projected severity under counterfactual (0-10)."
      },
      {
        "name": "HorizonMonths",
        "datatype": "integer",
        "type": "raw",
        "nullable": false,
        "Description": "Prediction horizon in months."
      },
      {
        "name": "InterventionApplied",
        "datatype": "string",
        "type": "raw",
        "nullable": true,
        "Description": "Hypothetical intervention (empty = no treatment)."
      },
      {
        "name": "Name",
        "datatype": "string",
        "type": "calculated",
        "nullable": true,
        "Description": "Display label.",
        "formula": "={{TrajectoryLabel}}"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CounterfactualTrajectorie page, chained under its Individual parent.",
        "formula": "={{ParentPath}} &amp; \"/trajectories/\" &amp; {{CounterfactualTrajectoryId}}"
      },
      {
        "name": "AutoimmuneDiseaseLabel",
        "datatype": "string",
        "type": "calculated",
        "nullable": true,
        "Description": "Disease label lookup.",
        "formula": "=INDEX(AutoimmuneDiseases!{{DiseaseLabel}}, MATCH({{AutoimmuneDisease}}, AutoimmuneDiseases!{{AutoimmuneDiseaseId}}, 0))"
      },
      {
        "name": "IsWorseningTrajectory",
        "datatype": "boolean",
        "type": "calculated",
        "nullable": true,
        "Description": "True when projected severity exceeds 7.",
        "formula": "=IF({{ProjectedSeverity}} &gt; 7, TRUE(), FALSE())"
      }
    ],
    "data": [
      {
        "CounterfactualTrajectoryId": "cf-context",
        "TrajectoryLabel": "Untreated SLE projection (context only)",
        "</t>
  </si>
  <si>
    <t xml:space="preserve">Individual": "ind-a-reyes",
        "AutoimmuneDisease": "sle",
        "ProjectedSeverity": 6,
        "HorizonMonths": 12,
        "InterventionApplied": "none",
        "Name": "Untreated SLE projection (context only)",
        "ParentPath": "/intake/new-patient/reyes-ana",
        "RelativePath": "/intake/new-patient/reyes-ana/trajectories/cf-context",
        "AutoimmuneDiseaseLabel": "Systemic Lupus Erythematosus",
        "IsWorseningTrajectory": false
      }
    ]
  },
  "IndividualPredictions": {
    "Description": "Predictions of disease onset, severity, treatment response, and adverse effects with calibrated uncertainty for ancestry-equitable risk prediction.",
    "schema": [
      {
        "name": "IndividualPredictionId",
        "datatype": "string",
        "type": "raw",
        "nullable": false,
        "Description": "Stable identifier for each prediction record."
      },
      {
        "name": "PredictionLabel",
        "datatype": "string",
        "type": "raw",
        "nullable": false,
        "Description": "Prediction type label."
      },
      {
        "name": "Individual",
        "datatype": "string",
        "type": "raw",
        "nullable": false,
        "Description": "Individual predicted."
      },
      {
        "name": "AutoimmuneDisease",
        "datatype": "string",
        "type": "raw",
        "nullable": false,
        "Description": "Target autoimmune disease."
      },
      {
        "name": "PredictionType",
        "datatype": "string",
        "type": "raw",
        "nullable": false,
        "Description": "Onset, Severity, TreatmentResponse, or AdverseEffect."
      },
      {
        "name": "Name",
        "datatype": "string",
        "type": "calculated",
        "nullable": true,
        "Description": "Display label.",
        "formula": "={{PredictionLabel}}"
      },
      {
        "name": "ParentPath",
        "datatype": "string",
        "type": "lookup",
        "nullable": true,
        "Description": "Lookup: Individuals.RelativePath via Individual —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IndividualPrediction page, chained under its Individual parent.",
        "formula": "={{ParentPath}} &amp; \"/predictions/\" &amp; {{IndividualPredictionId}}"
      },
      {
        "name": "IndividualAncestryLabel",
        "datatype": "string",
        "type": "calculated",
        "nullable": true,
        "Description": "Ancestry for equity audit.",
        "formula": "=INDEX(Individuals!{{AncestryLabel}}, MATCH({{Individual}}, Individuals!{{IndividualId}}, 0))"
      },
      {
        "name": "IsAncestryHoldout",
        "datatype": "boolean",
        "type": "calculated",
        "nullable": true,
        "Description": "True when individual ancestry absent from training.",
        "formula": "=INDEX(Individuals!{{IsAncestryAbsentFromTraining}}, MATCH({{Individual}}, Individuals!{{IndividualId}}, 0))"
      },
      {
        "name": "IndividualCausalMass",
        "datatype": "number",
        "type": "lookup",
        "nullable": true,
        "Description": "Summed confirmed causal confidence for this individual (empty-guarded).",
        "formula": "=IF({{Individual}} = \"\", 0, INDEX(Individuals!{{SumConfirmedCausalConfidence}}, MATCH({{Individual}}, Individuals!{{IndividualId}}, 0)))"
      },
      {
        "name": "IndividualConfirmedNodeCount",
        "datatype": "integer",
        "type": "lookup",
        "nullable": true,
        "Description": "Count of this individual's confirmed causal nodes (empty-guarded).",
        "formula": "=IF({{Individual}} = \"\", 0, INDEX(Individuals!{{CountConfirmedCausalNodes}}, MATCH({{Individual}}, Individuals!{{IndividualId}}, 0)))"
      },
      {
        "name": "IndividualCrossAncestryNodeCount",
        "datatype": "integer",
        "type": "lookup",
        "nullable": true,
        "Description": "Count of this individual's cross-ancestry-replicated confirmed nodes (empty-guarded).",
        "formula": "=IF({{Individual}} = \"\", 0, INDEX(Individuals!{{CountCrossAncestryConfirmedNodes}}, MATCH({{Individual}}, Individuals!{{IndividualId}}, 0)))"
      },
      {
        "name": "IndividualHasCrypticRelatedness",
        "datatype": "boolean",
        "type": "lookup",
        "nullable": true,
        "Description": "Whether this individual carries a cryptic-relatedness leakage flag (empty-guarded).",
        "formula": "=IF({{Individual}} = \"\", FALSE(), INDEX(Individuals!{{HasCrypticRelatednessFlag}}, MATCH({{Individual}}, Individuals!{{IndividualId}}, 0)))"
      },
      {
        "name": "IndividualMaxSeverityScore",
        "datatype": "number",
        "type": "lookup",
        "nullable": true,
        "Description": "This individual's max clinical SeverityScore (empty-guarded).",
        "formula": "=IF({{Individual}} = \"\", 0, INDEX(Individuals!{{MaxSeverityScore}}, MATCH({{Individual}}, Individuals!{{IndividualId}}, 0)))"
      },
      {
        "name": "IndividualHasHighSeverityPhenotype",
        "datatype": "boolean",
        "type": "lookup",
        "nullable": true,
        "Description": "Whether this individual has a high-severity phenotype (empty-guarded).",
        "formula": "=IF({{Individual}} = \"\", FALSE(), INDEX(Individuals!{{HasHighSeverityPhenotype}}, MATCH({{Individual}}, Individuals!{{IndividualId}}, 0)))"
      },
      {
        "name": "IndividualHasPredictedTreatmentResponse",
        "datatype": "boolean",
        "type": "lookup",
        "nullable": true,
        "Description": "Whether this individual has a treatment predicted to respond (empty-guarded).",
        "formula": "=IF({{Individual}} = \"\", FALSE(), INDEX(Individuals!{{HasPredictedTreatmentResponse}}, MATCH({{Individual}}, Individuals!{{IndividualId}}, 0)))"
      },
      {
        "name": "PredictedValue",
        "datatype": "number",
        "type": "calculated",
        "nullable": true,
        "Description": "Derived risk magnitude (0-10), a monotone function of validated causal mass only - rides mechanism, not ancestry correlation.",
        "formula": "=IF(((2 * {{IndividualCausalMass}}) + (1.5 * {{IndividualConfirmedNodeCount}})) &gt; 10, 10, (2 * {{IndividualCausalMass}}) + (1.5 * {{IndividualConfirmedNodeCount}}))"
      },
      {
        "name": "CountBins",
        "datatype": "integer",
        "type": "aggregation",
        "nullable": true,
        "Description": "Total reliability bins for this prediction.",
        "formula": "=COUNTIFS(CalibrationBins!{{IndividualPrediction}}, {{IndividualPredictionId}})"
      },
      {
        "name": "CountWellCalibratedBins",
        "datatype": "integer",
        "type": "aggregation",
        "nullable": true,
        "Description": "Bins passing coverage and accuracy.",
        "formula": "=COUNTIFS(CalibrationBins!{{IndividualPrediction}}, {{IndividualPredictionId}}, CalibrationBins!{{IsWellCalibratedBin}}, TRUE())"
      },
      {
        "name": "SumBinAbsError",
        "datatype": "number",
        "type": "aggregation",
        "nullable": true,
        "Description": "Summed reliability gap across this prediction's bins.",
        "formula": "=SUMIFS(CalibrationBins!{{BinAbsError}}, CalibrationBins!{{IndividualPrediction}}, {{IndividualPredictionId}})"
      },
      {
        "name": "MeanBinAbsError",
        "datatype": "number",
        "type": "calculated",
        "nullable": true,
        "Description": "Derived mean reliability gap; defaults to 1 (worst) when no bins exist.",
        "formula": "=IF({{CountBins}} &gt; 0, {{SumBinAbsError}} / {{CountBins}}, 1)"
      },
      {
        "name": "WellCalibratedFraction",
        "datatype": "number",
        "type": "calculated",
        "nullable": true,
        "Description": "Derived fraction of trustworthy bins (guarded division).",
        "formula": "=IF({{CountBins}} &gt; 0, {{CountWellCalibratedBins}} / {{CountBins}}, 0)"
      },
      {
        "name": "CalibratedUncertainty",
        "datatype": "number",
        "type": "calculated",
        "nullable": true,
        "Description": "Derived reliability (HIGH = trustworthy): (1 - mean gap) scaled by well-covered-bin fraction; 0 for uncovered predictions.",
        "formula": "=IF((1 - {{MeanBinAbsError}}) &lt; 0, 0, (1 - {{MeanBinAbsError}})) * {{WellCalibratedFraction}}"
      },
      {
        "name": "RestsOnConfirmedMechanism",
        "datatype": "boolean",
        "type": "calculated",
        "nullable": true,
        "Description": "Derived: grounded in &gt;=1 validated mechanism.",
        "formula": "=IF({{IndividualConfirmedNodeCount}} &gt;= 1, TRUE(), FALSE())"
      },
      {
        "name": "HasSpuriousCorrelationFlag",
        "datatype": "boolean",
        "type": "calculated",
        "nullable": true,
        "Description": "Derived: spurious if no validated mechanism OR cryptic-relatedness leakage.",
        "formula": "=IF(OR(NOT({{RestsOnConfirmedMechanism}}), {{IndividualHasCrypticRelatedness}}), TRUE(), FALSE())"
      },
      {
        "name": "IsFalsifiabilityBacked",
        "datatype": "boolean",
        "type": "calculated",
        "nullable": true,
        "Description": "Derived: inherits falsifiability - every confirmed node required IsExperimentallyFalsifiable.",
        "formula": "=IF({{IndividualConfirmedNodeCount}} &gt;= 1, TRUE(), FALSE())"
      },
      {
        "name": "IsTransportableToAbsentAncestry",
        "datatype": "boolean",
        "type": "calculated",
        "nullable": true,
        "Description": "Derived: a holdout individual is transportable only with &gt;=1 cross-ancestry-replicated node and no spurious flag.",
        "formula": "=IF(AND({{IsAncestryHoldout}}, {{IndividualCrossAncestryNodeCount}} &gt;= 1, NOT({{HasSpuriousCorrelationFlag}})), TRUE(), FALSE())"
      },
      {
        "name": "IsAncestryTransportSafe",
        "datatype": "boolean",
        "type": "calculated",
        "nullable": true,
        "Description": "Derived: holdout requires measured transport; in-training is vacuously safe.",
        "formula": "=IF({{IsAncestryHoldout}}, {{IsTransportableToAbsentAncestry}}, TRUE())"
      },
      {
        "name": "TransportGateStatus",
        "datatype": "string",
        "type": "calculated",
        "nullable": true,
        "Description": "RENDER ONLY (does NOT feed the keystone): honest three-state view of the transport gate so a vacuous in-training pass is never shown as evidentiary. NotApplicable = in-training ancestry (gate did not bite); PASS-tested = holdout with a confirmed cross-ancestry transport; FAIL = holdout without one. Sits beside IsAncestryTransportSafe (which the keystone still reads) purely to keep the writeup from implying transport evidence it never used.",
        "formula": "=IF(NOT({{IsAncestryHoldout}}), \"NotApplicable\", IF({{IsTransportableToAbsentAncestry}}, \"PASS-tested\", \"FAIL\"))"
      },
      {
        "name": "IsHighConfidencePrediction",
        "datatype": "boolean",
        "type": "calculated",
        "nullable": true,
        "Description": "Derived: calibrated AND not spurious.",
        "formula": "=IF(AND({{CalibratedUncertainty}} &gt;= 0.7, NOT({{HasSpuriousCorrelationFlag}})), TRUE(), FALSE())"
      },
      {
        "name": "PatientStratificationTier",
        "datatype": "string",
        "type": "calculated",
        "nullable": true,
        "Description": "Derived risk tier from the derived PredictedValue.",
        "formula": "=IF({{PredictedValue}} &gt;= 7, \"High-Risk Pathway\", IF({{PredictedValue}} &gt;= 4, \"Moderate-Risk Pathway\", \"Low-Risk Pathway\"))"
      },
      {
        "name": "PredictedSeverityValue",
        "datatype": "number",
        "type": "calculated",
        "nullable": true,
        "Description": "Derived severity prediction grounded in the individual's max clinical SeverityScore.",
        "formula": "={{IndividualMaxSeverityScore}}"
      },
      {
        "name": "SeverityTier",
        "datatype": "string",
        "type": "calculated",
        "nullable": true,
        "Description": "Derived severity band from the predicted severity value.",
        "formula": "=IF({{PredictedSeverityValue}} &gt; 7, \"Severe\", IF({{PredictedSeverityValue}} &gt;= 4, \"Moderate\", \"Mild\"))"
      },
      {
        "name": "IsSeverityActionable",
        "datatype": "boolean",
        "type": "calculated",
        "nullable": true,
        "Description": "Derived: a high-severity phenotype on a confirmed, non-spurious mechanism. Chained to the onset gates so severity can never be actionable on a debunked mechanism.",
        "formula": "=IF(AND({{IndividualHasHighSeverityPhenotype}}, {{RestsOnConfirmedMechanism}}, NOT({{HasSpuriousCorrelationFlag}})), TRUE(), FALSE())"
      },
      {
        "name": "SeverityDecidingFactor",
        "datatype": "string",
        "type": "calculated",
        "nullable": true,
        "Description": "Why severity is/ isn't actionable — the single deciding reason.",
        "formula": "=IF({{IsSeverityActionable}}, \"HighSeverityOnConfirmedMechanism\", IF(NOT({{IndividualHasHighSeverityPhenotype}}), \"NotHighSeverity\", IF(NOT({{RestsOnConfirmedMechanism}}), \"NoValidatedMechanism\", IF({{HasSpuriousCorrelationFlag}}, \"SpuriousFlag\", \"Undetermined\"))))"
      },
      {
        "name": "IsTreatmentResponseActionable",
        "datatype": "boolean",
        "type": "calculated",
        "nullable": true,
        "Description": "Derived: the individual has a treatment predicted to respond (effective therapy on a confirmed mechanism). The third prediction type — independent of onset/severity.",
        "formula": "=IF({{IndividualHasPredictedTreatmentResponse}}, TRUE(), FALSE())"
      },
      {
        "name": "TreatmentResponseDecidingFactor",
        "datatype": "string",
        "type": "calculated",
        "nullable": true,
        "Description": "Why treatment-response is/ isn't actionable for this individual.",
        "formula": "=IF({{IsTreatmentResponseActionable}}, \"EffectiveOnConfirmedMechanism\", IF({{RestsOnConfirmedMechanism}}, \"NoEffectiveTreatmentOnMechanism\", \"NoConfirmedMechanism\"))"
      },
      {
        "name": "IsClinicallyActionable",
        "datatype": "boolean",
        "type": "calculated",
        "nullable": true,
        "Description": "KEYSTONE: TRUE only when the prediction is high-confidence (calibrated + not spurious), falsifiability-backed, ancestry-transport-safe, and rests on a non-null derived magnitude.",
        "formula": "=IF(AND({{IsHighConfidencePrediction}}, {{IsFalsifiabilityBacked}}, {{IsAncestryTransportSafe}}, {{PredictedValue}} &gt; 0), TRUE(), FALSE())"
      },
      {
        "name": "LifecycleStateKey",
        "datatype": "string",
        "type": "calculated",
        "nullable": true,
        "Description": "DERIVED current lifecycle state (never entered): the single deciding gate determines whether the case lands on Actionable or NotActionable. Subject-state column of the diagnosis-lifecycle machine.",
        "formula": "=IF(AND({{IsHighConfidencePrediction}},{{IsFalsifiabilityBacked}},{{IsAncestryTransportSafe}},{{PredictedValue}}&gt;0),\"Actionable\",IF(OR(NOT({{RestsOnConfirmedMechanism}}),NOT({{IsFalsifiabilityBacked}})),\"NotActionable\",IF({{IndividualHasCrypticRelatedness}},\"NotActionable\",IF({{CalibratedUncertainty}}&lt;0.7,\"NotActionable\",IF(NOT({{IsAncestryTransportSafe}}),\"NotActionable\",\"Actionable\")))))"
      },
      {
        "name": "DecidingGate",
        "datatype": "string",
        "type": "calculated",
        "nullable": true,
        "Description": "DERIVED single primary deciding gate (never entered), named in keystone-AND priority order. 'AllGatesPass' when actionable. When the case rests on no validated mechanism (no confirmed causal node), Falsifiability, Confidence, and Magnitude are one and the same finding, reported as 'NoValidatedMechanism' rather than split across three gates. Otherwise the lone failing gate is named: CrypticRelatedness, Calibration, AncestryTransport.",
        "formula": "=IF({{IsClinicallyActionable}},\"AllGatesPass\",IF(NOT({{RestsOnConfirmedMechanism}}),\"NoValidatedMechanism\",IF({{IndividualHasCrypticRelatedness}},\"CrypticRelatedness\",IF({{CalibratedUncertainty}}&lt;0.7,\"Calibration\",IF(NOT({{IsAncestryTransportSafe}}),\"AncestryTransport\",\"Undetermined\")))))"
      },
      {
        "name": "CalibrationBins",
        "datatype": "string",
        "type": "relationship",
        "nullable": true,
        "Description": "Reliability bins for this prediction.",
        "RelatedTo": "CalibrationBins"
      },
      {
        "name": "IndividualTargetPathway",
        "datatype": "string",
        "type": "lookup",
        "nullable": true,
        "RelatedTo": "Individuals",
        "LookupField": "TargetPathway",
        "ViaField": "Individual",
        "Description": "TargetPathway resolved on the individual (decoded from the mechanism).",
        "formula": "=INDEX(Individuals!{{TargetPathway}}, MATCH({{Individual}}, Individuals!{{IndividualId}}, 0))"
      },
      {
        "name": "IndividualProgressionStateKey",
        "datatype": "lookup",
        "type": "lookup",
        "nullable": true,
        "RelatedTo": "Individuals",
        "Description": "Lookup: the individual's derived disease state.",
        "formula": "=INDEX(Individuals!{{NephritisProgressionStateKey}}, MATCH({{Individual}}, Individuals!{{IndividualId}}, 0))"
      },
      {
        "name": "IndividualIsDiseaseProgressing",
        "datatype": "boolean",
        "type": "lookup",
        "nullable": true,
        "RelatedTo": "Individuals",
        "Description": "Lookup: is the individual's disease progressing (simulator).",
        "formula": "=INDEX(Individuals!{{IsDiseaseProgressing}}, MATCH({{Individual}}, Individuals!{{IndividualId}}, 0))"
      },
      {
        "name": "RecommendedTreatmentLine",
        "datatype": "string",
        "type": "calculated",
        "nullable": true,
        "Description": "DERIVED treatment-line recommendation from confirmed-mechanism TargetPathway + disease state. The audit's MMF/belimumab/anifrolumab example.",
        "formula": "=IF(NOT({{RestsOnConfirmedMechanism}}),\"No targeted line — mechanism unconfirmed\",IF(OR({{IndividualProgressionStateKey}}=\"RenalFlareRisk\",{{IndividualProgressionStateKey}}=\"BiopsyIndicated\"),\"Mycophenolate (induction)\",IF({{IndividualTargetPathway}}=\"type-I-IFN\",\"Anifrolumab\",IF({{IndividualTargetPathway}}=\"B-cell/autoantibody\",\"Belimumab\",IF({{IndividualTargetPathway}}=\"IL-17/23\",\"Secukinumab\",\"Standard-of-care (no mechanism-matched targeted line)\")))))"
      },
      {
        "name": "TreatmentLineDecidingFactor",
        "datatype": "string",
        "type": "calculated",
        "nullable": true,
        "Description": "The single deciding reason for the recommended line (mirrors DecidingGate style).",
        "formula": "=IF(NOT({{RestsOnConfirmedMechanism}}),\"MechanismUnconfirmed\",IF(OR({{IndividualProgressionStateKey}}=\"RenalFlareRisk\",{{IndividualProgressionStateKey}}=\"BiopsyIndicated\"),\"ActiveNephritis-Induction\",IF({{IndividualTargetPathway}}=\"type-I-IFN\",\"IFNSignature-Anifrolumab\",IF({{IndividualTargetPathway}}=\"B-cell/autoantibody\",\"AutoantibodyDriven-Belimumab\",IF({{IndividualTargetPathway}}=\"IL-17/23\",\"IL17Axis-Secukinumab\",\"NoMechanismMatch\")))))"
      },
      {
        "name": "ProgressionVsActionabilityDisagree",
        "datatype": "boolean",
        "type": "calculated",
        "nullable": true,
        "Description": "THE COUNTER-EXAMPLE FLAG: TRUE when disease is progressing (simulator) but the prediction is NOT clinically actionable (gate). Proves the two layers are independent.",
        "formula": "=IF(AND({{IndividualIsDiseaseProgressing}},NOT({{IsClinicallyActionable}})),TRUE(),FALSE())"
      }
    ],
    "data": [
      {
        "IndividualPredictionId": "pred-a",
        "PredictionLabel": "pred-a",
        "Individual": "ind-a-reyes",
        "AutoimmuneDisease": "sle",
        "PredictionType": "Onset",
        "Name": "pred-a",
        "ParentPath": "/intake/new-patient/reyes-ana",
        "RelativePath": "/intake/new-patient/reyes-ana/predictions/pred-a",
        "IndividualAncestryLabel": "European",
        "IsAncestryHoldout": false,
        "IndividualCausalMass": 0.7583333333333333,
        "IndividualConfirmedNodeCount": 1,
        "IndividualCrossAncestryNodeCount": 1,
        "IndividualHasCrypticRelatedness": false,
        "PredictedValue": 3.0166666666666666,
        "CountBins": 5,
        "CountWellCalibratedBins": 5,
        "SumBinAbsError": 0.06,
        "MeanBinAbsError": 0.012,
        "WellCalibratedFraction": 1,
        "CalibratedUncertainty": 0.988,
        "RestsOnConfirmedMechanism": true,
        "HasSpuriousCorrelationFlag": false,
        "IsFalsifiabilityBacked": true,
        "IsTransportableToAbsentAncestry": false,
        "IsAncestryTransportSafe": true,
        "TransportGateStatus": "NotApplicable",
        "IsHighConfidencePrediction": true,
        "PatientStratificationTier": "Low-Risk Pathway",
        "IsClinicallyActionable": true,
        "LifecycleStateKey": "Actionable",
        "CalibrationBins": null,
        "DecidingGate": "AllGatesPass",
        "IndividualMaxSeverityScore": 9,
        "IndividualHasHighSeverityPhenotype": true,
        "PredictedSeverityValue": 9,
        "SeverityTier": "Severe",
        "IsSeverityActionable": true,
        "SeverityDecidingFactor": "HighSeverityOnConfirmedMechanism",
        "IndividualHasPredictedTreatmentResponse": true,
        "IsTreatmentResponseActionable": true,
        "TreatmentResponseDecidingFactor": "EffectiveOnConfirmedMechanism",
        "IndividualTargetPathway": "type-I-IFN",
        "IndividualProgressionStateKey": "SerologicActive",
        "IndividualIsDiseaseProgressing": false,
        "RecommendedTreatmentLine": "Anifrolumab",
        "TreatmentLineDecidingFactor": "IFNSignature-Anifrolumab",
        "ProgressionVsActionabilityDisagree": false
      },
      {
        "IndividualPredictionId": "pred-b",
        "PredictionLabel": "pred-b",
        "Individual": "ind-b-okafor",
        "AutoimmuneDisease": "sle",
        "PredictionType": "Onset",
        "Name": "pred-b",
        "ParentPath": "/intake/new-patient/okafor-bili",
        "RelativePath": "/intake/new-patient/okafor-bili/predictions/pred-b",
        "IndividualAncestryLabel": "European",
        "IsAncestryHoldout": false,
        "IndividualCausalMass": 0.7583333333333333,
        "IndividualConfirmedNodeCount": 1,
        "IndividualCrossAncestryNodeCount": 1,
        "IndividualHasCrypticRelatedness": false,
        "PredictedValue": 3.0166666666666666,
        "CountBins": 5,
        "CountWellCalibratedBins": 0,
        "SumBinAbsError": 0.18,
        "MeanBinAbsError": 0.036,
        "WellCalibratedFraction": 0,
        "CalibratedUncertainty": 0,
        "RestsOnConfirmedMechanism": true,
        "HasSpuriousCorrelationFlag": false,
        "IsFalsifiabilityBacked": true,
        "IsTransportableToAbsentAncestry": false,
        "IsAncestryTransportSafe": true,
        "TransportGateStatus": "NotApplicable",
        "IsHighConfidencePrediction": false,
        "PatientStratificationTier": "Low-Risk Pathway",
        "IsClinicallyActionable": false,
        "LifecycleStateKey": "NotActionable",
        "CalibrationBins": null,
        "DecidingGate": "Calibration",
        "IndividualMaxSeverityScore": 8,
        "IndividualHasHighSeverityPhenotype": true,
        "PredictedSeverityValue": 8,
        "SeverityTier": "Severe",
        "IsSeverityActionable": true,
        "SeverityDecidingFactor": "HighSeverityOnConfirmedMechanism",
        "IndividualHasPredictedTreatmentResponse": true,
        "IsTreatmentResponseActionable": true,
        "TreatmentResponseDecidingFactor": "EffectiveOnConfirmedMechanism",
        "IndividualTargetPathway": "type-I-IFN",
        "IndividualProgressionStateKey": "PresymptomaticAutoimmunity",
        "IndividualIsDiseaseProgressing": false,
        "RecommendedTreatmentLine": "Anifrolumab",
        "TreatmentLineDecidingFactor": "IFNSignature-Anifrolumab",
        "ProgressionVsActionabilityDisagree": false
      },
      {
        "IndividualPredictionId": "pred-c",
        "PredictionLabel": "pred-c",
        "Individual": "ind-c-chen",
        "AutoimmuneDisease": "sle",
        "PredictionType": "Onset",
        "Name": "pred-c",
        "ParentPath": "/intake/new-patient/wei-chen",
        "RelativePath": "/intake/new-patient/wei-chen/predictions/pred-c",
        "IndividualAncestryLabel": "East Asian",
        "IsAncestryHoldout": false,
        "IndividualCausalMass": 0,
        "IndividualConfirmedNodeCount": 0,
        "IndividualCrossAncestryNodeCount": 0,
        "IndividualHasCrypticRelatedness": false,
        "PredictedValue": 0,
        "CountBins": 5,
        "CountWellCalibratedBins": 5,
        "SumBinAbsError": 0.08,
        "MeanBinAbsError": 0.016,
        "WellCalibratedFraction": 1,
        "CalibratedUncertainty": 0.984,
        "RestsOnConfirmedMechanism": false,
        "HasSpuriousCorrelationFlag": true,
        "IsFalsifiabilityBacked": false,
        "IsTransportableToAbsentAncestry": false,
        "IsAncestryTransportSafe": true,
        "TransportGateStatus": "NotApplicable",
        "IsHighConfidencePrediction": false,
        "PatientStratificationTier": "Low-Risk Pathway",
        "IsClinicallyActionable": false,
        "LifecycleStateKey": "NotActionable",
        "CalibrationBins": null,
        "DecidingGate": "NoValidatedMechanism",
        "IndividualMaxSeverityScore": 9,
        "IndividualHasHighSeverityPhenotype": true,
        "PredictedSeverityValue": 9,
        "SeverityTier": "Severe",
        "IsSeverityActionable": false,
        "SeverityDecidingFactor": "NoValidatedMechanism",
        "IndividualHasPredictedTreatmentResponse": false,
        "IsTreatmentResponseActionable": false,
        "TreatmentResponseDecidingFactor": "NoConfirmedMechanism",
        "IndividualTargetPathway": "B-cell/autoantibody",
        "IndividualProgressionStateKey": "SerologicActive",
        "IndividualIsDiseaseProgressing": false,
        "RecommendedTreatmentLine": "No targeted line — mechanism unconfirmed",
        "TreatmentLineDecidingFactor": "MechanismUnconfirmed",
        "ProgressionVsActionabilityDisagree": false
      },
      {
        "IndividualPredictionId": "pred-d",
        "PredictionLabel": "pred-d",
        "Individual": "ind-d-santos",
        "AutoimmuneDisease": "sle",
        "PredictionType": "Onset",
        "Name": "pred-d",
        "ParentPath": "/intake/new-patient/santos-diego",
        "RelativePath": "/intake/new-patient/santos-diego/predictions/pred-d",
        "IndividualAncestryLabel": "European",
        "IsAncestryHoldout": false,
        "IndividualCausalMass": 0.7583333333333333,
        "IndividualConfirmedNodeCount": 1,
        "IndividualCrossAncestryNodeCount": 1,
        "IndividualHasCrypticRelatedness": true,
        "PredictedValue": 3.0166666666666666,
        "CountBins": 5,
        "CountWellCalibratedBins": 5,
        "SumBinAbsError": 0.06,
        "MeanBinAbsError": 0.012,
        "WellCalibratedFraction": 1,
        "CalibratedUncertainty": 0.988,
        "RestsOnConfirmedMechanism": true,
        "HasSpuriousCorrelationFlag": true,
        "IsFalsifiabilityBacked": true,
        "IsTransportableToAbsentAncestry": false,
        "IsAncestryTransportSafe": true,
        "TransportGateStatus": "NotApplicable",
        "IsHighConfidencePrediction": false,
        "PatientStratificationTier": "Low-Risk Pathway",
        "IsClinicallyActionable": false,
        "LifecycleStateKey": "NotActionable",
        "CalibrationBins": null,
        "DecidingGate": "CrypticRelatedness",
        "IndividualMaxSeverityScore": 8,
        "IndividualHasHighSeverityPhenotype": true,
        "PredictedSeverityValue": 8,
        "SeverityTier": "Severe",
        "IsSeverityActionable": false,
        "SeverityDecidingFactor": "SpuriousFlag",
        "IndividualHasPredictedTreatmentResponse": false,
        "IsTreatmentResponseActionable": false,
        "TreatmentResponseDecidingFactor": "NoEffectiveTreatmentOnMechanism",
        "IndividualTargetPathway": "B-cell/autoantibody",
        "IndividualProgressionStateKey": "BiopsyIndicated",
        "IndividualIsDiseaseProgressing": true,
        "RecommendedTreatmentLine": "Mycophenolate (induction)",
        "TreatmentLineDecidingFactor": "ActiveNephritis-Induction",
        "ProgressionVsActionabilityDisagree": true
      },
      {
        "IndividualPredictionId": "pred-e",
        "PredictionLabel": "pred-e",
        "Individual": "ind-e-mensah",
        "AutoimmuneDisease": "sle",
        "PredictionType": "Onset",
        "Name": "pred-e",
        "ParentPath": "/intake/new-patient/mensah-esi",
        "RelativePath": "/intake/new-patient/mensah-esi/predictions/pred-e",
        "IndividualAncestryLabel": "African",
        "IsAncestryHoldout": false,
        "IndividualCausalMass": 0,
        "IndividualConfirmedNodeCount": 0,
        "IndividualCrossAncestryNodeCount": 0,
        "IndividualHasCrypticRelatedness": false,
        "PredictedValue": 0,
        "CountBins": 5,
        "CountWellCalibratedBins": 5,
        "SumBinAbsError": 0.06,
        "MeanBinAbsError": 0.012,
        "WellCalibratedFraction": 1,
        "CalibratedUncertainty": 0.988,
        "RestsOnConfirmedMechanism": false,
        "HasSpuriousCorrelationFlag": true,
        "IsFalsifiabilityBacked": false,
        "IsTransportableToAbsentAncestry": false,
        "IsAncestryTransportSafe": true,
        "TransportGateStatus": "NotApplicable",
        "IsHighConfidencePrediction": false,
        "PatientStratificationTier": "Low-Risk Pathway",
        "IsClinicallyActionable": false,
        "LifecycleStateKey": "NotActionable",
        "CalibrationBins": null,
        "DecidingGate": "NoValidatedMechanism",
        "IndividualMaxSeverityScore": 3,
        "IndividualHasHighSeverityPhenotype": false,
        "PredictedSeverityValue": 3,
        "SeverityTier": "Mild",
        "IsSeverityActionable": false,
        "SeverityDecidingFactor": "NotHighSeverity",
        "IndividualHasPredictedTreatmentResponse": false,
        "IsTreatmentResponseActionable": false,
        "TreatmentResponseDecidingFactor": "NoConfirmedMechanism",
        "IndividualTargetPathway": "T-cell-costim",
        "IndividualProgressionStateKey": "PresymptomaticAutoimmunity",
        "IndividualIsDiseaseProgressing": false,
        "RecommendedTreatmentLine": "No targeted line — mechanism unconfirmed",
        "TreatmentLineDecidingFactor": "MechanismUnconfirmed",
        "ProgressionVsActionabilityDisagree": false
      },
      {
        "IndividualPredictionId": "pred-f",
        "PredictionLabel": "pred-f",
        "Individual": "ind-f-haidar",
        "AutoimmuneDisease": "psa",
        "PredictionType": "Onset",
        "Name": "pred-f",
        "ParentPath": "/intake/new-patient/haidar-faisal",
        "RelativePath": "/intake/new-patient/haidar-faisal/predictions/pred-f",
        "IndividualAncestryLabel": "Indigenous American",
        "IsAncestryHoldout": true,
        "IndividualCausalMass": 0.8583333333333333,
        "IndividualConfirmedNodeCount": 1,
        "IndividualCrossAncestryNodeCount": 0,
        "IndividualHasCrypticRelatedness": false,
        "PredictedValue": 3.216666666666667,
        "CountBins": 5,
        "CountWellCalibratedBins": 5,
        "SumBinAbsError": 0.07,
        "MeanBinAbsError": 0.014,
        "WellCalibratedFraction": 1,
        "CalibratedUncertainty": 0.986,
        "RestsOnConfirmedMechanism": true,
        "HasSpuriousCorrelationFlag": false,
        "IsFalsifiabilityBacked": true,
        "IsTransportableToAbsentAncestry": false,
        "IsAncestryTransportSafe": false,
        "TransportGateStatus": "FAIL",
        "IsHighConfidencePrediction": true,
        "PatientStratificationTier": "Low-Risk Pathway",
        "IsClinicallyActionable": false,
        "LifecycleStateKey": "NotActionable",
        "CalibrationBins": null,
        "DecidingGate": "AncestryTransport",
        "IndividualMaxSeverityScore</t>
  </si>
  <si>
    <t xml:space="preserve">": 2,
        "IndividualHasHighSeverityPhenotype": false,
        "PredictedSeverityValue": 2,
        "SeverityTier": "Mild",
        "IsSeverityActionable": false,
        "SeverityDecidingFactor": "NotHighSeverity",
        "IndividualHasPredictedTreatmentResponse": false,
        "IsTreatmentResponseActionable": false,
        "TreatmentResponseDecidingFactor": "NoEffectiveTreatmentOnMechanism",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"pred-g",
        "PredictionLabel": "pred-g",
        "Individual": "ind-g-lin",
        "AutoimmuneDisease": "psa",
        "PredictionType": "Onset",
        "Name": "pred-g",
        "ParentPath": "/intake/new-patient/lin-grace",
        "RelativePath": "/intake/new-patient/lin-grace/predictions/pred-g",
        "IndividualAncestryLabel": "Indigenous American",
        "IsAncestryHoldout": true,
        "IndividualCausalMass": 0.8583333333333333,
        "IndividualConfirmedNodeCount": 1,
        "IndividualCrossAncestryNodeCount": 1,
        "IndividualHasCrypticRelatedness": false,
        "PredictedValue": 3.216666666666667,
        "CountBins": 5,
        "CountWellCalibratedBins": 5,
        "SumBinAbsError": 0.08,
        "MeanBinAbsError": 0.016,
        "WellCalibratedFraction": 1,
        "CalibratedUncertainty": 0.984,
        "RestsOnConfirmedMechanism": true,
        "HasSpuriousCorrelationFlag": false,
        "IsFalsifiabilityBacked": true,
        "IsTransportableToAbsentAncestry": true,
        "IsAncestryTransportSafe": true,
        "TransportGateStatus": "PASS-tested",
        "IsHighConfidencePrediction": true,
        "PatientStratificationTier": "Low-Risk Pathway",
        "IsClinicallyActionable": true,
        "LifecycleStateKey": "Actionable",
        "CalibrationBins": null,
        "DecidingGate": "AllGatesPass",
        "IndividualMaxSeverityScore": 6,
        "IndividualHasHighSeverityPhenotype": false,
        "PredictedSeverityValue": 6,
        "SeverityTier": "Moderate",
        "IsSeverityActionable": false,
        "SeverityDecidingFactor": "NotHighSeverity",
        "IndividualHasPredictedTreatmentResponse": true,
        "IsTreatmentResponseActionable": true,
        "TreatmentResponseDecidingFactor": "EffectiveOnConfirmedMechanism",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"pred-h",
        "PredictionLabel": "pred-h",
        "Individual": "ind-h-yamamoto",
        "AutoimmuneDisease": "sle",
        "PredictionType": "Onset",
        "Name": "pred-h",
        "ParentPath": "/intake/new-patient/yamamoto-hana",
        "RelativePath": "/intake/new-patient/yamamoto-hana/predictions/pred-h",
        "IndividualAncestryLabel": "East Asian",
        "IsAncestryHoldout": false,
        "IndividualCausalMass": 0.7583333333333333,
        "IndividualConfirmedNodeCount": 1,
        "IndividualCrossAncestryNodeCount": 1,
        "IndividualHasCrypticRelatedness": false,
        "PredictedValue": 3.0166666666666666,
        "CountBins": 5,
        "CountWellCalibratedBins": 5,
        "SumBinAbsError": 0.06,
        "MeanBinAbsError": 0.012,
        "WellCalibratedFraction": 1,
        "CalibratedUncertainty": 0.988,
        "RestsOnConfirmedMechanism": true,
        "HasSpuriousCorrelationFlag": false,
        "IsFalsifiabilityBacked": true,
        "IsTransportableToAbsentAncestry": false,
        "IsAncestryTransportSafe": true,
        "TransportGateStatus": "NotApplicable",
        "IsHighConfidencePrediction": true,
        "PatientStratificationTier": "Low-Risk Pathway",
        "IsClinicallyActionable": true,
        "LifecycleStateKey": "Actionable",
        "CalibrationBins": null,
        "DecidingGate": "AllGatesPass",
        "IndividualMaxSeverityScore": 9,
        "IndividualHasHighSeverityPhenotype": true,
        "PredictedSeverityValue": 9,
        "SeverityTier": "Severe",
        "IsSeverityActionable": true,
        "SeverityDecidingFactor": "HighSeverityOnConfirmedMechanism",
        "IndividualHasPredictedTreatmentResponse": true,
        "IsTreatmentResponseActionable": true,
        "TreatmentResponseDecidingFactor": "EffectiveOnConfirmedMechanism",
        "CreatedBy": "v2-step10",
        "CreatedAt": "2026-06-20T00:00:00Z",
        "ModifiedBy": "v2-step10",
        "ModifiedAt": "2026-06-20T00:00:00Z",
        "ModifiedByModel": "claude-opus-4-8",
        "IndividualTargetPathway": "type-I-IFN",
        "IndividualProgressionStateKey": "EarlyNephritis",
        "IndividualIsDiseaseProgressing": true,
        "RecommendedTreatmentLine": "Anifrolumab",
        "TreatmentLineDecidingFactor": "IFNSignature-Anifrolumab",
        "ProgressionVsActionabilityDisagree": false
      },
      {
        "IndividualPredictionId": "pred-i",
        "PredictionLabel": "pred-i",
        "Individual": "ind-i-conteh",
        "AutoimmuneDisease": "sle",
        "PredictionType": "Onset",
        "Name": "pred-i",
        "ParentPath": "/intake/new-patient/conteh-ibrahim",
        "RelativePath": "/intake/new-patient/conteh-ibrahim/predictions/pred-i",
        "IndividualAncestryLabel": "African",
        "IsAncestryHoldout": false,
        "IndividualCausalMass": 0.7583333333333333,
        "IndividualConfirmedNodeCount": 1,
        "IndividualCrossAncestryNodeCount": 1,
        "IndividualHasCrypticRelatedness": true,
        "PredictedValue": 3.0166666666666666,
        "CountBins": 5,
        "CountWellCalibratedBins": 5,
        "SumBinAbsError": 0.06,
        "MeanBinAbsError": 0.012,
        "WellCalibratedFraction": 1,
        "CalibratedUncertainty": 0.988,
        "RestsOnConfirmedMechanism": true,
        "HasSpuriousCorrelationFlag": true,
        "IsFalsifiabilityBacked": true,
        "IsTransportableToAbsentAncestry": false,
        "IsAncestryTransportSafe": true,
        "TransportGateStatus": "NotApplicable",
        "IsHighConfidencePrediction": false,
        "PatientStratificationTier": "Low-Risk Pathway",
        "IsClinicallyActionable": false,
        "LifecycleStateKey": "NotActionable",
        "CalibrationBins": null,
        "DecidingGate": "CrypticRelatedness",
        "IndividualMaxSeverityScore": 8,
        "IndividualHasHighSeverityPhenotype": true,
        "PredictedSeverityValue": 8,
        "SeverityTier": "Severe",
        "IsSeverityActionable": false,
        "SeverityDecidingFactor": "SpuriousFlag",
        "IndividualHasPredictedTreatmentResponse": false,
        "IsTreatmentResponseActionable": false,
        "TreatmentResponseDecidingFactor": "NoEffectiveTreatmentOnMechanism",
        "CreatedBy": "v2-step10",
        "CreatedAt": "2026-06-20T00:00:00Z",
        "ModifiedBy": "v2-step10",
        "ModifiedAt": "2026-06-20T00:00:00Z",
        "ModifiedByModel": "claude-opus-4-8",
        "IndividualTargetPathway": "B-cell/autoantibody",
        "IndividualProgressionStateKey": "RenalFlareRisk",
        "IndividualIsDiseaseProgressing": true,
        "RecommendedTreatmentLine": "Mycophenolate (induction)",
        "TreatmentLineDecidingFactor": "ActiveNephritis-Induction",
        "ProgressionVsActionabilityDisagree": true
      },
      {
        "IndividualPredictionId": "pred-j",
        "PredictionLabel": "pred-j",
        "Individual": "ind-j-brooks",
        "AutoimmuneDisease": "sle",
        "PredictionType": "Onset",
        "Name": "pred-j",
        "ParentPath": "/intake/new-patient/brooks-jamal",
        "RelativePath": "/intake/new-patient/brooks-jamal/predictions/pred-j",
        "IndividualAncestryLabel": "Hispanic/Latino",
        "IsAncestryHoldout": false,
        "IndividualCausalMass": 0.7583333333333333,
        "IndividualConfirmedNodeCount": 1,
        "IndividualCrossAncestryNodeCount": 1,
        "IndividualHasCrypticRelatedness": false,
        "PredictedValue": 3.0166666666666666,
        "CountBins": 5,
        "CountWellCalibratedBins": 0,
        "SumBinAbsError": 0.18,
        "MeanBinAbsError": 0.036,
        "WellCalibratedFraction": 0,
        "CalibratedUncertainty": 0,
        "RestsOnConfirmedMechanism": true,
        "HasSpuriousCorrelationFlag": false,
        "IsFalsifiabilityBacked": true,
        "IsTransportableToAbsentAncestry": false,
        "IsAncestryTransportSafe": true,
        "TransportGateStatus": "NotApplicable",
        "IsHighConfidencePrediction": false,
        "PatientStratificationTier": "Low-Risk Pathway",
        "IsClinicallyActionable": false,
        "LifecycleStateKey": "NotActionable",
        "CalibrationBins": null,
        "DecidingGate": "Calibration",
        "IndividualMaxSeverityScore": 8,
        "IndividualHasHighSeverityPhenotype": true,
        "PredictedSeverityValue": 8,
        "SeverityTier": "Severe",
        "IsSeverityActionable": true,
        "SeverityDecidingFactor": "HighSeverityOnConfirmedMechanism",
        "IndividualHasPredictedTreatmentResponse": true,
        "IsTreatmentResponseActionable": true,
        "TreatmentResponseDecidingFactor": "EffectiveOnConfirmedMechanism",
        "CreatedBy": "v2-step10",
        "CreatedAt": "2026-06-20T00:00:00Z",
        "ModifiedBy": "v2-step10",
        "ModifiedAt": "2026-06-20T00:00:00Z",
        "ModifiedByModel": "claude-opus-4-8",
        "IndividualTargetPathway": "type-I-IFN",
        "IndividualProgressionStateKey": "SerologicActive",
        "IndividualIsDiseaseProgressing": false,
        "RecommendedTreatmentLine": "Anifrolumab",
        "TreatmentLineDecidingFactor": "IFNSignature-Anifrolumab",
        "ProgressionVsActionabilityDisagree": false
      },
      {
        "IndividualPredictionId": "pred-k",
        "PredictionLabel": "pred-k",
        "Individual": "ind-k-nair",
        "AutoimmuneDisease": "psa",
        "PredictionType": "Onset",
        "Name": "pred-k",
        "ParentPath": "/intake/new-patient/nair-kavya",
        "RelativePath": "/intake/new-patient/nair-kavya/predictions/pred-k",
        "IndividualAncestryLabel": "South Asian",
        "IsAncestryHoldout": true,
        "IndividualCausalMass": 0.8583333333333333,
        "IndividualConfirmedNodeCount": 1,
        "IndividualCrossAncestryNodeCount": 0,
        "IndividualHasCrypticRelatedness": false,
        "PredictedValue": 3.216666666666667,
        "CountBins": 5,
        "CountWellCalibratedBins": 5,
        "SumBinAbsError": 0.07,
        "MeanBinAbsError": 0.014,
        "WellCalibratedFraction": 1,
        "CalibratedUncertainty": 0.986,
        "RestsOnConfirmedMechanism": true,
        "HasSpuriousCorrelationFlag": false,
        "IsFalsifiabilityBacked": true,
        "IsTransportableToAbsentAncestry": false,
        "IsAncestryTransportSafe": false,
        "TransportGateStatus": "FAIL",
        "IsHighConfidencePrediction": true,
        "PatientStratificationTier": "Low-Risk Pathway",
        "IsClinicallyActionable": false,
        "LifecycleStateKey": "NotActionable",
        "CalibrationBins": null,
        "DecidingGate": "AncestryTransport",
        "IndividualMaxSeverityScore": 2,
        "IndividualHasHighSeverityPhenotype": false,
        "PredictedSeverityValue": 2,
        "SeverityTier": "Mild",
        "IsSeverityActionable": false,
        "SeverityDecidingFactor": "NotHighSeverity",
        "IndividualHasPredictedTreatmentResponse": false,
        "IsTreatmentResponseActionable": false,
        "TreatmentResponseDecidingFactor": "NoEffectiveTreatmentOnMechanism",
        "CreatedBy": "v2-step10",
        "CreatedAt": "2026-06-20T00:00:00Z",
        "ModifiedBy": "v2-step10",
        "ModifiedAt": "2026-06-20T00:00:00Z",
        "ModifiedByModel": "claude-opus-4-8",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"pred-l",
        "PredictionLabel": "pred-l",
        "Individual": "ind-l-brandt",
        "AutoimmuneDisease": "psa",
        "PredictionType": "Onset",
        "Name": "pred-l",
        "ParentPath": "/intake/new-patient/brandt-lena",
        "RelativePath": "/intake/new-patient/brandt-lena/predictions/pred-l",
        "IndividualAncestryLabel": "Indigenous American",
        "IsAncestryHoldout": true,
        "IndividualCausalMass": 0.8583333333333333,
        "IndividualConfirmedNodeCount": 1,
        "IndividualCrossAncestryNodeCount": 1,
        "IndividualHasCrypticRelatedness": false,
        "PredictedValue": 3.216666666666667,
        "CountBins": 5,
        "CountWellCalibratedBins": 5,
        "SumBinAbsError": 0.08,
        "MeanBinAbsError": 0.016,
        "WellCalibratedFraction": 1,
        "CalibratedUncertainty": 0.984,
        "RestsOnConfirmedMechanism": true,
        "HasSpuriousCorrelationFlag": false,
        "IsFalsifiabilityBacked": true,
        "IsTransportableToAbsentAncestry": true,
        "IsAncestryTransportSafe": true,
        "TransportGateStatus": "PASS-tested",
        "IsHighConfidencePrediction": true,
        "PatientStratificationTier": "Low-Risk Pathway",
        "IsClinicallyActionable": true,
        "LifecycleStateKey": "Actionable",
        "CalibrationBins": null,
        "DecidingGate": "AllGatesPass",
        "IndividualMaxSeverityScore": 6,
        "IndividualHasHighSeverityPhenotype": false,
        "PredictedSeverityValue": 6,
        "SeverityTier": "Moderate",
        "IsSeverityActionable": false,
        "SeverityDecidingFactor": "NotHighSeverity",
        "IndividualHasPredictedTreatmentResponse": true,
        "IsTreatmentResponseActionable": true,
        "TreatmentResponseDecidingFactor": "EffectiveOnConfirmedMechanism",
        "CreatedBy": "v2-step10",
        "CreatedAt": "2026-06-20T00:00:00Z",
        "ModifiedBy": "v2-step10",
        "ModifiedAt": "2026-06-20T00:00:00Z",
        "ModifiedByModel": "claude-opus-4-8",
        "IndividualTargetPathway": "IL-17/23",
        "IndividualProgressionStateKey": "PresymptomaticAutoimmunity",
        "IndividualIsDiseaseProgressing": false,
        "RecommendedTreatmentLine": "Secukinumab",
        "TreatmentLineDecidingFactor": "IL17Axis-Secukinumab",
        "ProgressionVsActionabilityDisagree": false
      }
    ]
  },
  "CalibrationBins": {
    "Description": "Per-prediction reliability-curve bins, seeded from the held-out coverage of this individual's own ancestry x disease. Calibration is an aggregation over these rows.",
    "schema": [
      {
        "name": "CalibrationBinId",
        "datatype": "string",
        "type": "raw",
        "nullable": false,
        "Description": "Stable id for this bin."
      },
      {
        "name": "BinLabel",
        "datatype": "string",
        "type": "raw",
        "nullable": false,
        "Description": "Human label."
      },
      {
        "name": "IndividualPrediction",
        "datatype": "string",
        "type": "raw",
        "nullable": false,
        "Description": "FK to the prediction this bin calibrates.",
        "RelatedTo": "IndividualPredictions"
      },
      {
        "name": "PredictedProbabilityBand",
        "datatype": "number",
        "type": "raw",
        "nullable": false,
        "Description": "OBSERVATION: predicted-probability midpoint of this bin (0-1)."
      },
      {
        "name": "ObservedEventRate",
        "datatype": "number",
        "type": "raw",
        "nullable": false,
        "Description": "OBSERVATION: empirical event rate among held-out cases in this band, matched to this individual's ancestry x disease."
      },
      {
        "name": "CoverageCount",
        "datatype": "integer",
        "type": "raw",
        "nullable": false,
        "Description": "OBSERVATION: number of held-out outcomes in this band for this ancestry x disease."
      },
      {
        "name": "Name",
        "datatype": "string",
        "type": "calculated",
        "nullable": false,
        "Description": "Display name.",
        "formula": "={{BinLabel}}"
      },
      {
        "name": "ParentPath",
        "datatype": "string",
        "type": "lookup",
        "nullable": true,
        "Description": "Lookup: IndividualPredictions.RelativePath via IndividualPrediction — used to chain this entity's path under its parent.",
        "RelatedTo": "IndividualPredictions",
        "LookupField": "RelativePath",
        "ViaField": "IndividualPrediction",
        "formula": "=INDEX(IndividualPredictions!{{RelativePath}}, MATCH({{IndividualPrediction}}, IndividualPredictions!{{IndividualPredictionId}}, 0))"
      },
      {
        "name": "RelativePath",
        "datatype": "string",
        "type": "calculated",
        "nullable": true,
        "Description": "Path to this CalibrationBin page, chained under its IndividualPrediction parent.",
        "formula": "={{ParentPath}} &amp; \"/bins/\" &amp; {{CalibrationBinId}}"
      },
      {
        "name": "BinAbsError",
        "datatype": "number",
        "type": "calculated",
        "nullable": true,
        "Description": "Derived: absolute gap between predicted band and observed rate.",
        "formula": "=IF({{PredictedProbabilityBand}} &gt;= {{ObservedEventRate}}, {{PredictedProbabilityBand}} - {{ObservedEventRate}}, {{ObservedEventRate}} - {{PredictedProbabilityBand}})"
      },
      {
        "name": "IsWellCalibratedBin",
        "datatype": "boolean",
        "type": "calculated",
        "nullable": true,
        "Description": "Derived: enough held-out coverage AND small reliability gap.",
        "formula": "=IF(AND({{CoverageCount}} &gt;= 20, {{BinAbsError}} &lt;= 0.1), TRUE(), FALSE())"
      },
      {
        "name": "SourceQuote",
        "datatype": "string",
        "type": "raw",
        "nullable": true,
        "Description": "PANEL 2-&gt;1 provenance pointer (raw leaf, read by nothing downstream): the literal span of the patient's CaseNarrative from which this calibration bin's raw value was extracted. A human verifies the EXTRACTION was faithful here, separately from trusting the derived diagnosis — which is exactly what defeats 'a hallucination laundered through a deterministic function'."
      }
    ],
    "data": [
      {
        "CalibrationBinId": "cb-a-0",
        "BinLabel": "cb-a-0",
        "IndividualPrediction": "pred-a",
        "PredictedProbabilityBand": 0.1,
        "ObservedEventRate": 0.09,
        "CoverageCount": 34,
        "Name": "cb-a-0",
        "ParentPath": "/intake/new-patient/reyes-ana/predictions/pred-a",
        "RelativePath": "/intake/new-patient/reyes-ana/predictions/pred-a/bins/cb-a-0",
        "BinAbsError": 0.01,
        "IsWellCalibratedBin": true,
        "SourceQuote": "coverage of 29-34 held-out individuals per reliability bin"
      },
      {
        "CalibrationBinId": "cb-a-1",
        "BinLabel": "cb-a-1",
        "IndividualPrediction": "pred-a",
        "PredictedProbabilityBand": 0.3,
        "ObservedEventRate": 0.31,
        "CoverageCount": 31,
        "Name": "cb-a-1",
        "ParentPath": "/intake/new-patient/reyes-ana/predictions/pred-a",
        "RelativePath": "/intake/new-patient/reyes-ana/predictions/pred-a/bins/cb-a-1",
        "BinAbsError": 0.01,
        "IsWellCalibratedBin": true,
        "SourceQuote": "coverage of 29-34 held-out individuals per reliability bin"
      },
      {
        "CalibrationBinId": "cb-a-2",
        "BinLabel": "cb-a-2",
        "IndividualPrediction": "pred-a",
        "PredictedProbabilityBand": 0.5,
        "ObservedEventRate": 0.49,
        "CoverageCount": 29,
        "Name": "cb-a-2",
        "ParentPath": "/intake/new-patient/reyes-ana/predictions/pred-a",
        "RelativePath": "/intake/new-patient/reyes-ana/predictions/pred-a/bins/cb-a-2",
        "BinAbsError": 0.01,
        "IsWellCalibratedBin": true,
        "SourceQuote": "coverage of 29-34 held-out individuals per reliability bin"
      },
      {
        "CalibrationBinId": "cb-a-3",
        "BinLabel": "cb-a-3",
        "IndividualPrediction": "pred-a",
        "PredictedProbabilityBand": 0.7,
        "ObservedEventRate": 0.71,
        "CoverageCount": 33,
        "Name": "cb-a-3",
        "ParentPath": "/intake/new-patient/reyes-ana/predictions/pred-a",
        "RelativePath": "/intake/new-patient/reyes-ana/predictions/pred-a/bins/cb-a-3",
        "BinAbsError": 0.01,
        "IsWellCalibratedBin": true,
        "SourceQuote": "coverage of 29-34 held-out individuals per reliability bin"
      },
      {
        "CalibrationBinId": "cb-a-4",
        "BinLabel": "cb-a-4",
        "IndividualPrediction": "pred-a",
        "PredictedProbabilityBand": 0.9,
        "ObservedEventRate": 0.88,
        "CoverageCount": 30,
        "Name": "cb-a-4",
        "ParentPath": "/intake/new-patient/reyes-ana/predictions/pred-a",
        "RelativePath": "/intake/new-patient/reyes-ana/predictions/pred-a/bins/cb-a-4",
        "BinAbsError": 0.02,
        "IsWellCalibratedBin": true,
        "SourceQuote": "coverage of 29-34 held-out individuals per reliability bin"
      },
      {
        "CalibrationBinId": "cb-c-0",
        "BinLabel": "cb-c-0",
        "IndividualPrediction": "pred-c",
        "PredictedProbabilityBand": 0.1,
        "ObservedEventRate": 0.11,
        "CoverageCount": 28,
        "Name": "cb-c-0",
        "ParentPath": "/intake/new-patient/wei-chen/predictions/pred-c",
        "RelativePath": "/intake/new-patient/wei-chen/predictions/pred-c/bins/cb-c-0",
        "BinAbsError": 0.01,
        "IsWellCalibratedBin": true,
        "SourceQuote": "coverage of 28-32 held-out individuals per reliability bin"
      },
      {
        "CalibrationBinId": "cb-c-1",
        "BinLabel": "cb-c-1",
        "IndividualPrediction": "pred-c",
        "PredictedProbabilityBand": 0.3,
        "ObservedEventRate": 0.29,
        "CoverageCount": 32,
        "Name": "cb-c-1",
        "ParentPath": "/intake/new-patient/wei-chen/predictions/pred-c",
        "RelativePath": "/intake/new-patient/wei-chen/predictions/pred-c/bins/cb-c-1",
        "BinAbsError": 0.01,
        "IsWellCalibratedBin": true,
        "SourceQuote": "coverage of 28-32 held-out individuals per reliability bin"
      },
      {
        "CalibrationBinId": "cb-c-2",
        "BinLabel": "cb-c-2",
        "IndividualPrediction": "pred-c",
        "PredictedProbabilityBand": 0.5,
        "ObservedEventRate": 0.53,
        "CoverageCount": 30,
        "Name": "cb-c-2",
        "ParentPath": "/intake/new-patient/wei-chen/predictions/pred-c",
        "RelativePath": "/intake/new-patient/wei-chen/predictions/pred-c/bins/cb-c-2",
        "BinAbsError": 0.03,
        "IsWellCalibratedBin": true,
        "SourceQuote": "coverage of 28-32 held-out individuals per reliability bin"
      },
      {
        "CalibrationBinId": "cb-c-3",
        "BinLabel": "cb-c-3",
        "IndividualPrediction": "pred-c",
        "PredictedProbabilityBand": 0.7,
        "ObservedEventRate": 0.67,
        "CoverageCount": 31,
        "Name": "cb-c-3",
        "ParentPath": "/intake/new-patient/wei-chen/predictions/pred-c",
        "RelativePath": "/intake/new-patient/wei-chen/predictions/pred-c/bins/cb-c-3",
        "BinAbsError": 0.03,
        "IsWellCalibratedBin": true,
        "SourceQuote": "coverage of 28-32 held-out individuals per reliability bin"
      },
      {
        "CalibrationBinId": "cb-c-4",
        "BinLabel": "cb-c-4",
        "IndividualPrediction": "pred-c",
        "PredictedProbabilityBand": 0.9,
        "ObservedEventRate": 0.9,
        "CoverageCount": 29,
        "Name": "cb-c-4",
        "ParentPath": "/intake/new-patient/wei-chen/predictions/pred-c",
        "RelativePath": "/intake/new-patient/wei-chen/predictions/pred-c/bins/cb-c-4",
        "BinAbsError": 0,
        "IsWellCalibratedBin": true,
        "SourceQuote": "coverage of 28-32 held-out individuals per reliability bin"
      },
      {
        "CalibrationBinId": "cb-d-0",
        "BinLabel": "cb-d-0",
        "IndividualPrediction": "pred-d",
        "PredictedProbabilityBand": 0.1,
        "ObservedEventRate": 0.08,
        "CoverageCount": 36,
        "Name": "cb-d-0",
        "ParentPath": "/intake/new-patient/santos-diego/predictions/pred-d",
        "RelativePath": "/intake/new-patient/santos-diego/predictions/pred-d/bins/cb-d-0",
        "BinAbsError": 0.02,
        "IsWellCalibratedBin": true,
        "SourceQuote": "coverage of 30-36 held-out individuals per reliability bin"
      },
      {
        "CalibrationBinId": "cb-d-1",
        "BinLabel": "cb-d-1",
        "IndividualPrediction": "pred-d",
        "PredictedProbabilityBand": 0.3,
        "ObservedEventRate": 0.32,
        "CoverageCount": 33,
        "Name": "cb-d-1",
        "ParentPath": "/intake/new-patient/santos-diego/predictions/pred-d",
        "RelativePath": "/intake/new-patient/santos-diego/predictions/pred-d/bins/cb-d-1",
        "BinAbsError": 0.02,
        "IsWellCalibratedBin": true,
        "SourceQuote": "coverage of 30-36 held-out individuals per reliability bin"
      },
      {
        "CalibrationBinId": "cb-d-2",
        "BinLabel": "cb-d-2",
        "IndividualPrediction": "pred-d",
        "PredictedProbabilityBand": 0.5,
        "ObservedEventRate": 0.5,
        "CoverageCount": 35,
        "Name": "cb-d-2",
        "ParentPath": "/intake/new-patient/santos-diego/predictions/pred-d",
        "RelativePath": "/intake/new-patient/santos-diego/predictions/pred-d/bins/cb-d-2",
        "BinAbsError": 0,
        "IsWellCalibratedBin": true,
        "SourceQuote": "coverage of 30-36 held-out individuals per reliability bin"
      },
      {
        "CalibrationBinId": "cb-d-3",
        "BinLabel": "cb-d-3",
        "IndividualPrediction": "pred-d",
        "PredictedProbabilityBand": 0.7,
        "ObservedEventRate": 0.69,
        "CoverageCount": 30,
        "Name": "cb-d-3",
        "ParentPath": "/intake/new-patient/santos-diego/predictions/pred-d",
        "RelativePath": "/intake/new-patient/santos-diego/predictions/pred-d/bins/cb-d-3",
        "BinAbsError": 0.01,
        "IsWellCalibratedBin": true,
        "SourceQuote": "coverage of 30-36 held-out individuals per reliability bin"
      },
      {
        "CalibrationBinId": "cb-d-4",
        "BinLabel": "cb-d-4",
        "IndividualPrediction": "pred-d",
        "PredictedProbabilityBand": 0.9,
        "ObservedEventRate": 0.91,
        "CoverageCount": 34,
        "Name": "cb-d-4",
        "ParentPath": "/intake/new-patient/santos-diego/predictions/pred-d",
        "RelativePath": "/intake/new-patient/santos-diego/predictions/pred-d/bins/cb-d-4",
        "BinAbsError": 0.01,
        "IsWellCalibratedBin": true,
        "SourceQuote": "coverage of 30-36 held-out individuals per reliability bin"
      },
      {
        "CalibrationBinId": "cb-e-0",
        "BinLabel": "cb-e-0",
        "IndividualPrediction": "pred-e",
        "PredictedProbabilityBand": 0.1,
        "ObservedEventRate": 0.1,
        "CoverageCount": 27,
        "Name": "cb-e-0",
        "ParentPath": "/intake/new-patient/mensah-esi/predictions/pred-e",
        "RelativePath": "/intake/new-patient/mensah-esi/predictions/pred-e/bins/cb-e-0",
        "BinAbsError": 0,
        "IsWellCalibratedBin": true,
        "SourceQuote": "coverage of 27-33 held-out individuals per reliability bin"
      },
      {
        "CalibrationBinId": "cb-e-1",
        "BinLabel": "cb-e-1",
        "IndividualPrediction": "pred-e",
        "PredictedProbabilityBand": 0.3,
        "ObservedEventRate": 0.28,
        "CoverageCount": 30,
        "Name": "cb-e-1",
        "ParentPath": "/intake/new-patient/mensah-esi/predictions/pred-e",
        "RelativePath": "/intake/new-patient/mensah-esi/predictions/pred-e/bins/cb-e-1",
        "BinAbsError": 0.02,
        "IsWellCalibratedBin": true,
        "SourceQuote": "coverage of 27-33 held-out individuals per reliability bin"
      },
      {
        "CalibrationBinId": "cb-e-2",
        "BinLabel": "cb-e-2",
        "IndividualPrediction": "pred-e",
        "PredictedProbabilityBand": 0.5,
        "ObservedEventRate": 0.51,
        "CoverageCount": 33,
        "Name": "cb-e-2",
        "ParentPath": "/intake/new-patient/mensah-esi/predictions/pred-e",
        "RelativePath": "/intake/new-patient/mensah-esi/predictions/pred-e/bins/cb-e-2",
        "BinAbsError": 0.01,
        "IsWellCalibratedBin": true,
        "SourceQuote": "coverage of 27-33 held-out individuals per reliability bin"
      },
      {
        "CalibrationBinId": "cb-e-3",
        "BinLabel": "cb-e-3",
        "IndividualPrediction": "pred-e",
        "PredictedProbabilityBand": 0.7,
        "ObservedEventRate": 0.72,
        "CoverageCount": 28,
        "Name": "cb-e-3",
        "ParentPath": "/intake/new-patient/mensah-esi/predictions/pred-e",
        "RelativePath": "/intake/new-patient/mensah-esi/predictions/pred-e/bins/cb-e-3",
        "BinAbsError": 0.02,
        "IsWellCalibratedBin": true,
        "SourceQuote": "coverage of 27-33 held-out individuals per reliability bin"
      },
      {
        "CalibrationBinId": "cb-e-4",
        "BinLabel": "cb-e-4",
        "IndividualPrediction": "pred-e",
        "PredictedProbabilityBand": 0.9,
        "ObservedEventRate": 0.89,
        "CoverageCount": 31,
        "Name": "cb-e-4",
        "ParentPath": "/intake/new-patient/mensah-esi/predictions/pred-e",
        "RelativePath": "/intake/new-patient/mensah-esi/predictions/pred-e/bins/cb-e-4",
        "BinAbsError": 0.01,
        "IsWellCalibratedBin": true,
        "SourceQuote": "coverage of 27-33 held-out individuals per reliability bin"
      },
      {
        "CalibrationBinId": "cb-f-0",
        "BinLabel": "cb-f-0",
        "IndividualPrediction": "pred-f",
        "PredictedProbabilityBand": 0.1,
        "ObservedEventRate": 0.12,
        "CoverageCount": 32,
        "Name": "cb-f-0",
        "ParentPath": "/intake/new-patient/haidar-faisal/predictions/pred-f",
        "RelativePath": "/intake/new-patient/haidar-faisal/predictions/pred-f/bins/cb-f-0",
        "BinAbsError": 0.02,
        "IsWellCalibratedBin": true,
        "SourceQuote": "coverage of 30-35 held-out individuals per reliability bin"
      },
      {
        "CalibrationBinId": "cb-f-1",
        "BinLabel": "cb-f-1",
        "IndividualPrediction": "pred-f",
        "PredictedProbabilityBand": 0.3,
        "ObservedEventRate": 0.3,
        "CoverageCount": 35,
        "Name": "cb-f-1",
        "ParentPath": "/intake/new-patient/haidar-faisal/predictions/pred-f",
        "RelativePath": "/intake/new-patient/haidar-faisal/predictions/pred-f/bins/cb-f-1",
        "BinAbsError": 0,
        "IsWellCalibratedBin": true,
        "SourceQuote": "coverage of 30-35 held-out individuals per reliability bin"
      },
      {
        "CalibrationBinId": "cb-f-2",
        "BinLabel": "cb-f-2",
        "IndividualPrediction": "pred-f",
        "PredictedProbabilityBand": 0.5,
        "ObservedEventRate": 0.48,
        "CoverageCount": 31,
        "Name": "cb-f-2",
        "ParentPath": "/intake/new-patient/haidar-faisal/predictions/pred-f",
        "RelativePath": "/intake/new-patient/haidar-faisal/predictions/pred-f/bins/cb-f-2",
        "BinAbsError": 0.02,
        "IsWellCalibratedBin": true,
        "SourceQuote": "coverage of 30-35 held-out individuals per reliability bin"
      },
      {
        "CalibrationBinId": "cb-f-3",
        "BinLabel": "cb-f-3",
        "IndividualPrediction": "pred-f",
        "PredictedProbabilityBand": 0.7,
        "ObservedEventRate": 0.7,
        "CoverageCount": 34,
        "Name": "cb-f-3",
        "ParentPath": "/intake/new-patient/haidar-faisal/predictions/pred-f",
        "RelativePath": "/intake/new-patient/haidar-faisal/predictions/pred-f/bins/cb-f-3",
        "BinAbsError": 0,
        "IsWellCalibratedBin": true,
        "SourceQuote": "coverage of 30-35 held-out individuals per reliability bin"
      },
      {
        "CalibrationBinId": "cb-f-4",
        "BinLabel": "cb-f-4",
        "IndividualPrediction": "pred-f",
        "Predicte</t>
  </si>
  <si>
    <t xml:space="preserve">dProbabilityBand": 0.9,
        "ObservedEventRate": 0.93,
        "CoverageCount": 30,
        "Name": "cb-f-4",
        "ParentPath": "/intake/new-patient/haidar-faisal/predictions/pred-f",
        "RelativePath": "/intake/new-patient/haidar-faisal/predictions/pred-f/bins/cb-f-4",
        "BinAbsError": 0.03,
        "IsWellCalibratedBin": true,
        "SourceQuote": "coverage of 30-35 held-out individuals per reliability bin"
      },
      {
        "CalibrationBinId": "cb-g-0",
        "BinLabel": "cb-g-0",
        "IndividualPrediction": "pred-g",
        "PredictedProbabilityBand": 0.1,
        "ObservedEventRate": 0.09,
        "CoverageCount": 33,
        "Name": "cb-g-0",
        "ParentPath": "/intake/new-patient/lin-grace/predictions/pred-g",
        "RelativePath": "/intake/new-patient/lin-grace/predictions/pred-g/bins/cb-g-0",
        "BinAbsError": 0.01,
        "IsWellCalibratedBin": true,
        "SourceQuote": "coverage of 30-36 held-out individuals per reliability bin"
      },
      {
        "CalibrationBinId": "cb-g-1",
        "BinLabel": "cb-g-1",
        "IndividualPrediction": "pred-g",
        "PredictedProbabilityBand": 0.3,
        "ObservedEventRate": 0.31,
        "CoverageCount": 36,
        "Name": "cb-g-1",
        "ParentPath": "/intake/new-patient/lin-grace/predictions/pred-g",
        "RelativePath": "/intake/new-patient/lin-grace/predictions/pred-g/bins/cb-g-1",
        "BinAbsError": 0.01,
        "IsWellCalibratedBin": true,
        "SourceQuote": "coverage of 30-36 held-out individuals per reliability bin"
      },
      {
        "CalibrationBinId": "cb-g-2",
        "BinLabel": "cb-g-2",
        "IndividualPrediction": "pred-g",
        "PredictedProbabilityBand": 0.5,
        "ObservedEventRate": 0.52,
        "CoverageCount": 30,
        "Name": "cb-g-2",
        "ParentPath": "/intake/new-patient/lin-grace/predictions/pred-g",
        "RelativePath": "/intake/new-patient/lin-grace/predictions/pred-g/bins/cb-g-2",
        "BinAbsError": 0.02,
        "IsWellCalibratedBin": true,
        "SourceQuote": "coverage of 30-36 held-out individuals per reliability bin"
      },
      {
        "CalibrationBinId": "cb-g-3",
        "BinLabel": "cb-g-3",
        "IndividualPrediction": "pred-g",
        "PredictedProbabilityBand": 0.7,
        "ObservedEventRate": 0.68,
        "CoverageCount": 35,
        "Name": "cb-g-3",
        "ParentPath": "/intake/new-patient/lin-grace/predictions/pred-g",
        "RelativePath": "/intake/new-patient/lin-grace/predictions/pred-g/bins/cb-g-3",
        "BinAbsError": 0.02,
        "IsWellCalibratedBin": true,
        "SourceQuote": "coverage of 30-36 held-out individuals per reliability bin"
      },
      {
        "CalibrationBinId": "cb-g-4",
        "BinLabel": "cb-g-4",
        "IndividualPrediction": "pred-g",
        "PredictedProbabilityBand": 0.9,
        "ObservedEventRate": 0.92,
        "CoverageCount": 32,
        "Name": "cb-g-4",
        "ParentPath": "/intake/new-patient/lin-grace/predictions/pred-g",
        "RelativePath": "/intake/new-patient/lin-grace/predictions/pred-g/bins/cb-g-4",
        "BinAbsError": 0.02,
        "IsWellCalibratedBin": true,
        "SourceQuote": "coverage of 30-36 held-out individuals per reliability bin"
      },
      {
        "CalibrationBinId": "cb-b-0",
        "BinLabel": "cb-b-0",
        "IndividualPrediction": "pred-b",
        "PredictedProbabilityBand": 0.1,
        "ObservedEventRate": 0.07,
        "CoverageCount": 11,
        "Name": "cb-b-0",
        "ParentPath": "/intake/new-patient/okafor-bili/predictions/pred-b",
        "RelativePath": "/intake/new-patient/okafor-bili/predictions/pred-b/bins/cb-b-0",
        "BinAbsError": 0.03,
        "IsWellCalibratedBin": false,
        "SourceQuote": "coverage of 7-14 held-out individuals per reliability bin"
      },
      {
        "CalibrationBinId": "cb-b-1",
        "BinLabel": "cb-b-1",
        "IndividualPrediction": "pred-b",
        "PredictedProbabilityBand": 0.3,
        "ObservedEventRate": 0.33,
        "CoverageCount": 9,
        "Name": "cb-b-1",
        "ParentPath": "/intake/new-patient/okafor-bili/predictions/pred-b",
        "RelativePath": "/intake/new-patient/okafor-bili/predictions/pred-b/bins/cb-b-1",
        "BinAbsError": 0.03,
        "IsWellCalibratedBin": false,
        "SourceQuote": "coverage of 7-14 held-out individuals per reliability bin"
      },
      {
        "CalibrationBinId": "cb-b-2",
        "BinLabel": "cb-b-2",
        "IndividualPrediction": "pred-b",
        "PredictedProbabilityBand": 0.5,
        "ObservedEventRate": 0.55,
        "CoverageCount": 14,
        "Name": "cb-b-2",
        "ParentPath": "/intake/new-patient/okafor-bili/predictions/pred-b",
        "RelativePath": "/intake/new-patient/okafor-bili/predictions/pred-b/bins/cb-b-2",
        "BinAbsError": 0.05,
        "IsWellCalibratedBin": false,
        "SourceQuote": "coverage of 7-14 held-out individuals per reliability bin"
      },
      {
        "CalibrationBinId": "cb-b-3",
        "BinLabel": "cb-b-3",
        "IndividualPrediction": "pred-b",
        "PredictedProbabilityBand": 0.7,
        "ObservedEventRate": 0.66,
        "CoverageCount": 7,
        "Name": "cb-b-3",
        "ParentPath": "/intake/new-patient/okafor-bili/predictions/pred-b",
        "RelativePath": "/intake/new-patient/okafor-bili/predictions/pred-b/bins/cb-b-3",
        "BinAbsError": 0.04,
        "IsWellCalibratedBin": false,
        "SourceQuote": "coverage of 7-14 held-out individuals per reliability bin"
      },
      {
        "CalibrationBinId": "cb-b-4",
        "BinLabel": "cb-b-4",
        "IndividualPrediction": "pred-b",
        "PredictedProbabilityBand": 0.9,
        "ObservedEventRate": 0.93,
        "CoverageCount": 12,
        "Name": "cb-b-4",
        "ParentPath": "/intake/new-patient/okafor-bili/predictions/pred-b",
        "RelativePath": "/intake/new-patient/okafor-bili/predictions/pred-b/bins/cb-b-4",
        "BinAbsError": 0.03,
        "IsWellCalibratedBin": false,
        "SourceQuote": "coverage of 7-14 held-out individuals per reliability bin"
      },
      {
        "CalibrationBinId": "cb-h-0",
        "BinLabel": "cb-h-0",
        "IndividualPrediction": "pred-h",
        "PredictedProbabilityBand": 0.1,
        "ObservedEventRate": 0.09,
        "CoverageCount": 34,
        "Name": "cb-h-0",
        "ParentPath": "/intake/new-patient/yamamoto-hana/predictions/pred-h",
        "RelativePath": "/intake/new-patient/yamamoto-hana/predictions/pred-h/bins/cb-h-0",
        "BinAbsError": 0.01,
        "IsWellCalibratedBin": true,
        "SourceQuote": "coverage of 29-34 held-out individuals per reliability bin",
        "CreatedBy": "v2-step10",
        "CreatedAt": "2026-06-20T00:00:00Z",
        "ModifiedBy": "v2-step10",
        "ModifiedAt": "2026-06-20T00:00:00Z",
        "ModifiedByModel": "claude-opus-4-8"
      },
      {
        "CalibrationBinId": "cb-h-1",
        "BinLabel": "cb-h-1",
        "IndividualPrediction": "pred-h",
        "PredictedProbabilityBand": 0.3,
        "ObservedEventRate": 0.31,
        "CoverageCount": 31,
        "Name": "cb-h-1",
        "ParentPath": "/intake/new-patient/yamamoto-hana/predictions/pred-h",
        "RelativePath": "/intake/new-patient/yamamoto-hana/predictions/pred-h/bins/cb-h-1",
        "BinAbsError": 0.01,
        "IsWellCalibratedBin": true,
        "SourceQuote": "coverage of 29-34 held-out individuals per reliability bin",
        "CreatedBy": "v2-step10",
        "CreatedAt": "2026-06-20T00:00:00Z",
        "ModifiedBy": "v2-step10",
        "ModifiedAt": "2026-06-20T00:00:00Z",
        "ModifiedByModel": "claude-opus-4-8"
      },
      {
        "CalibrationBinId": "cb-h-2",
        "BinLabel": "cb-h-2",
        "IndividualPrediction": "pred-h",
        "PredictedProbabilityBand": 0.5,
        "ObservedEventRate": 0.49,
        "CoverageCount": 29,
        "Name": "cb-h-2",
        "ParentPath": "/intake/new-patient/yamamoto-hana/predictions/pred-h",
        "RelativePath": "/intake/new-patient/yamamoto-hana/predictions/pred-h/bins/cb-h-2",
        "BinAbsError": 0.01,
        "IsWellCalibratedBin": true,
        "SourceQuote": "coverage of 29-34 held-out individuals per reliability bin",
        "CreatedBy": "v2-step10",
        "CreatedAt": "2026-06-20T00:00:00Z",
        "ModifiedBy": "v2-step10",
        "ModifiedAt": "2026-06-20T00:00:00Z",
        "ModifiedByModel": "claude-opus-4-8"
      },
      {
        "CalibrationBinId": "cb-h-3",
        "BinLabel": "cb-h-3",
        "IndividualPrediction": "pred-h",
        "PredictedProbabilityBand": 0.7,
        "ObservedEventRate": 0.71,
        "CoverageCount": 33,
        "Name": "cb-h-3",
        "ParentPath": "/intake/new-patient/yamamoto-hana/predictions/pred-h",
        "RelativePath": "/intake/new-patient/yamamoto-hana/predictions/pred-h/bins/cb-h-3",
        "BinAbsError": 0.01,
        "IsWellCalibratedBin": true,
        "SourceQuote": "coverage of 29-34 held-out individuals per reliability bin",
        "CreatedBy": "v2-step10",
        "CreatedAt": "2026-06-20T00:00:00Z",
        "ModifiedBy": "v2-step10",
        "ModifiedAt": "2026-06-20T00:00:00Z",
        "ModifiedByModel": "claude-opus-4-8"
      },
      {
        "CalibrationBinId": "cb-h-4",
        "BinLabel": "cb-h-4",
        "IndividualPrediction": "pred-h",
        "PredictedProbabilityBand": 0.9,
        "ObservedEventRate": 0.88,
        "CoverageCount": 30,
        "Name": "cb-h-4",
        "ParentPath": "/intake/new-patient/yamamoto-hana/predictions/pred-h",
        "RelativePath": "/intake/new-patient/yamamoto-hana/predictions/pred-h/bins/cb-h-4",
        "BinAbsError": 0.02,
        "IsWellCalibratedBin": true,
        "SourceQuote": "coverage of 29-34 held-out individuals per reliability bin",
        "CreatedBy": "v2-step10",
        "CreatedAt": "2026-06-20T00:00:00Z",
        "ModifiedBy": "v2-step10",
        "ModifiedAt": "2026-06-20T00:00:00Z",
        "ModifiedByModel": "claude-opus-4-8"
      },
      {
        "CalibrationBinId": "cb-i-0",
        "BinLabel": "cb-i-0",
        "IndividualPrediction": "pred-i",
        "PredictedProbabilityBand": 0.1,
        "ObservedEventRate": 0.08,
        "CoverageCount": 36,
        "Name": "cb-i-0",
        "ParentPath": "/intake/new-patient/conteh-ibrahim/predictions/pred-i",
        "RelativePath": "/intake/new-patient/conteh-ibrahim/predictions/pred-i/bins/cb-i-0",
        "BinAbsError": 0.02,
        "IsWellCalibratedBin": true,
        "SourceQuote": "coverage of 30-36 held-out individuals per reliability bin",
        "CreatedBy": "v2-step10",
        "CreatedAt": "2026-06-20T00:00:00Z",
        "ModifiedBy": "v2-step10",
        "ModifiedAt": "2026-06-20T00:00:00Z",
        "ModifiedByModel": "claude-opus-4-8"
      },
      {
        "CalibrationBinId": "cb-i-1",
        "BinLabel": "cb-i-1",
        "IndividualPrediction": "pred-i",
        "PredictedProbabilityBand": 0.3,
        "ObservedEventRate": 0.32,
        "CoverageCount": 33,
        "Name": "cb-i-1",
        "ParentPath": "/intake/new-patient/conteh-ibrahim/predictions/pred-i",
        "RelativePath": "/intake/new-patient/conteh-ibrahim/predictions/pred-i/bins/cb-i-1",
        "BinAbsError": 0.02,
        "IsWellCalibratedBin": true,
        "SourceQuote": "coverage of 30-36 held-out individuals per reliability bin",
        "CreatedBy": "v2-step10",
        "CreatedAt": "2026-06-20T00:00:00Z",
        "ModifiedBy": "v2-step10",
        "ModifiedAt": "2026-06-20T00:00:00Z",
        "ModifiedByModel": "claude-opus-4-8"
      },
      {
        "CalibrationBinId": "cb-i-2",
        "BinLabel": "cb-i-2",
        "IndividualPrediction": "pred-i",
        "PredictedProbabilityBand": 0.5,
        "ObservedEventRate": 0.5,
        "CoverageCount": 35,
        "Name": "cb-i-2",
        "ParentPath": "/intake/new-patient/conteh-ibrahim/predictions/pred-i",
        "RelativePath": "/intake/new-patient/conteh-ibrahim/predictions/pred-i/bins/cb-i-2",
        "BinAbsError": 0,
        "IsWellCalibratedBin": true,
        "SourceQuote": "coverage of 30-36 held-out individuals per reliability bin",
        "CreatedBy": "v2-step10",
        "CreatedAt": "2026-06-20T00:00:00Z",
        "ModifiedBy": "v2-step10",
        "ModifiedAt": "2026-06-20T00:00:00Z",
        "ModifiedByModel": "claude-opus-4-8"
      },
      {
        "CalibrationBinId": "cb-i-3",
        "BinLabel": "cb-i-3",
        "IndividualPrediction": "pred-i",
        "PredictedProbabilityBand": 0.7,
        "ObservedEventRate": 0.69,
        "CoverageCount": 30,
        "Name": "cb-i-3",
        "ParentPath": "/intake/new-patient/conteh-ibrahim/predictions/pred-i",
        "RelativePath": "/intake/new-patient/conteh-ibrahim/predictions/pred-i/bins/cb-i-3",
        "BinAbsError": 0.01,
        "IsWellCalibratedBin": true,
        "SourceQuote": "coverage of 30-36 held-out individuals per reliability bin",
        "CreatedBy": "v2-step10",
        "CreatedAt": "2026-06-20T00:00:00Z",
        "ModifiedBy": "v2-step10",
        "ModifiedAt": "2026-06-20T00:00:00Z",
        "ModifiedByModel": "claude-opus-4-8"
      },
      {
        "CalibrationBinId": "cb-i-4",
        "BinLabel": "cb-i-4",
        "IndividualPrediction": "pred-i",
        "PredictedProbabilityBand": 0.9,
        "ObservedEventRate": 0.91,
        "CoverageCount": 34,
        "Name": "cb-i-4",
        "ParentPath": "/intake/new-patient/conteh-ibrahim/predictions/pred-i",
        "RelativePath": "/intake/new-patient/conteh-ibrahim/predictions/pred-i/bins/cb-i-4",
        "BinAbsError": 0.01,
        "IsWellCalibratedBin": true,
        "SourceQuote": "coverage of 30-36 held-out individuals per reliability bin",
        "CreatedBy": "v2-step10",
        "CreatedAt": "2026-06-20T00:00:00Z",
        "ModifiedBy": "v2-step10",
        "ModifiedAt": "2026-06-20T00:00:00Z",
        "ModifiedByModel": "claude-opus-4-8"
      },
      {
        "CalibrationBinId": "cb-j-0",
        "BinLabel": "cb-j-0",
        "IndividualPrediction": "pred-j",
        "PredictedProbabilityBand": 0.1,
        "ObservedEventRate": 0.07,
        "CoverageCount": 11,
        "Name": "cb-j-0",
        "ParentPath": "/intake/new-patient/brooks-jamal/predictions/pred-j",
        "RelativePath": "/intake/new-patient/brooks-jamal/predictions/pred-j/bins/cb-j-0",
        "BinAbsError": 0.03,
        "IsWellCalibratedBin": false,
        "SourceQuote": "coverage of 7-14 held-out individuals per reliability bin",
        "CreatedBy": "v2-step10",
        "CreatedAt": "2026-06-20T00:00:00Z",
        "ModifiedBy": "v2-step10",
        "ModifiedAt": "2026-06-20T00:00:00Z",
        "ModifiedByModel": "claude-opus-4-8"
      },
      {
        "CalibrationBinId": "cb-j-1",
        "BinLabel": "cb-j-1",
        "IndividualPrediction": "pred-j",
        "PredictedProbabilityBand": 0.3,
        "ObservedEventRate": 0.33,
        "CoverageCount": 9,
        "Name": "cb-j-1",
        "ParentPath": "/intake/new-patient/brooks-jamal/predictions/pred-j",
        "RelativePath": "/intake/new-patient/brooks-jamal/predictions/pred-j/bins/cb-j-1",
        "BinAbsError": 0.03,
        "IsWellCalibratedBin": false,
        "SourceQuote": "coverage of 7-14 held-out individuals per reliability bin",
        "CreatedBy": "v2-step10",
        "CreatedAt": "2026-06-20T00:00:00Z",
        "ModifiedBy": "v2-step10",
        "ModifiedAt": "2026-06-20T00:00:00Z",
        "ModifiedByModel": "claude-opus-4-8"
      },
      {
        "CalibrationBinId": "cb-j-2",
        "BinLabel": "cb-j-2",
        "IndividualPrediction": "pred-j",
        "PredictedProbabilityBand": 0.5,
        "ObservedEventRate": 0.55,
        "CoverageCount": 14,
        "Name": "cb-j-2",
        "ParentPath": "/intake/new-patient/brooks-jamal/predictions/pred-j",
        "RelativePath": "/intake/new-patient/brooks-jamal/predictions/pred-j/bins/cb-j-2",
        "BinAbsError": 0.05,
        "IsWellCalibratedBin": false,
        "SourceQuote": "coverage of 7-14 held-out individuals per reliability bin",
        "CreatedBy": "v2-step10",
        "CreatedAt": "2026-06-20T00:00:00Z",
        "ModifiedBy": "v2-step10",
        "ModifiedAt": "2026-06-20T00:00:00Z",
        "ModifiedByModel": "claude-opus-4-8"
      },
      {
        "CalibrationBinId": "cb-j-3",
        "BinLabel": "cb-j-3",
        "IndividualPrediction": "pred-j",
        "PredictedProbabilityBand": 0.7,
        "ObservedEventRate": 0.66,
        "CoverageCount": 7,
        "Name": "cb-j-3",
        "ParentPath": "/intake/new-patient/brooks-jamal/predictions/pred-j",
        "RelativePath": "/intake/new-patient/brooks-jamal/predictions/pred-j/bins/cb-j-3",
        "BinAbsError": 0.04,
        "IsWellCalibratedBin": false,
        "SourceQuote": "coverage of 7-14 held-out individuals per reliability bin",
        "CreatedBy": "v2-step10",
        "CreatedAt": "2026-06-20T00:00:00Z",
        "ModifiedBy": "v2-step10",
        "ModifiedAt": "2026-06-20T00:00:00Z",
        "ModifiedByModel": "claude-opus-4-8"
      },
      {
        "CalibrationBinId": "cb-j-4",
        "BinLabel": "cb-j-4",
        "IndividualPrediction": "pred-j",
        "PredictedProbabilityBand": 0.9,
        "ObservedEventRate": 0.93,
        "CoverageCount": 12,
        "Name": "cb-j-4",
        "ParentPath": "/intake/new-patient/brooks-jamal/predictions/pred-j",
        "RelativePath": "/intake/new-patient/brooks-jamal/predictions/pred-j/bins/cb-j-4",
        "BinAbsError": 0.03,
        "IsWellCalibratedBin": false,
        "SourceQuote": "coverage of 7-14 held-out individuals per reliability bin",
        "CreatedBy": "v2-step10",
        "CreatedAt": "2026-06-20T00:00:00Z",
        "ModifiedBy": "v2-step10",
        "ModifiedAt": "2026-06-20T00:00:00Z",
        "ModifiedByModel": "claude-opus-4-8"
      },
      {
        "CalibrationBinId": "cb-k-0",
        "BinLabel": "cb-k-0",
        "IndividualPrediction": "pred-k",
        "PredictedProbabilityBand": 0.1,
        "ObservedEventRate": 0.12,
        "CoverageCount": 32,
        "Name": "cb-k-0",
        "ParentPath": "/intake/new-patient/nair-kavya/predictions/pred-k",
        "RelativePath": "/intake/new-patient/nair-kavya/predictions/pred-k/bins/cb-k-0",
        "BinAbsError": 0.02,
        "IsWellCalibratedBin": true,
        "SourceQuote": "coverage of 30-35 held-out individuals per reliability bin",
        "CreatedBy": "v2-step10",
        "CreatedAt": "2026-06-20T00:00:00Z",
        "ModifiedBy": "v2-step10",
        "ModifiedAt": "2026-06-20T00:00:00Z",
        "ModifiedByModel": "claude-opus-4-8"
      },
      {
        "CalibrationBinId": "cb-k-1",
        "BinLabel": "cb-k-1",
        "IndividualPrediction": "pred-k",
        "PredictedProbabilityBand": 0.3,
        "ObservedEventRate": 0.3,
        "CoverageCount": 35,
        "Name": "cb-k-1",
        "ParentPath": "/intake/new-patient/nair-kavya/predictions/pred-k",
        "RelativePath": "/intake/new-patient/nair-kavya/predictions/pred-k/bins/cb-k-1",
        "BinAbsError": 0,
        "IsWellCalibratedBin": true,
        "SourceQuote": "coverage of 30-35 held-out individuals per reliability bin",
        "CreatedBy": "v2-step10",
        "CreatedAt": "2026-06-20T00:00:00Z",
        "ModifiedBy": "v2-step10",
        "ModifiedAt": "2026-06-20T00:00:00Z",
        "ModifiedByModel": "claude-opus-4-8"
      },
      {
        "CalibrationBinId": "cb-k-2",
        "BinLabel": "cb-k-2",
        "IndividualPrediction": "pred-k",
        "PredictedProbabilityBand": 0.5,
        "ObservedEventRate": 0.48,
        "CoverageCount": 31,
        "Name": "cb-k-2",
        "ParentPath": "/intake/new-patient/nair-kavya/predictions/pred-k",
        "RelativePath": "/intake/new-patient/nair-kavya/predictions/pred-k/bins/cb-k-2",
        "BinAbsError": 0.02,
        "IsWellCalibratedBin": true,
        "SourceQuote": "coverage of 30-35 held-out individuals per reliability bin",
        "CreatedBy": "v2-step10",
        "CreatedAt": "2026-06-20T00:00:00Z",
        "ModifiedBy": "v2-step10",
        "ModifiedAt": "2026-06-20T00:00:00Z",
        "ModifiedByModel": "claude-opus-4-8"
      },
      {
        "CalibrationBinId": "cb-k-3",
        "BinLabel": "cb-k-3",
        "IndividualPrediction": "pred-k",
        "PredictedProbabilityBand": 0.7,
        "ObservedEventRate": 0.7,
        "CoverageCount": 34,
        "Name": "cb-k-3",
        "ParentPath": "/intake/new-patient/nair-kavya/predictions/pred-k",
        "RelativePath": "/intake/new-patient/nair-kavya/predictions/pred-k/bins/cb-k-3",
        "BinAbsError": 0,
        "IsWellCalibratedBin": true,
        "SourceQuote": "coverage of 30-35 held-out individuals per reliability bin",
        "CreatedBy": "v2-step10",
        "CreatedAt": "2026-06-20T00:00:00Z",
        "ModifiedBy": "v2-step10",
        "ModifiedAt": "2026-06-20T00:00:00Z",
        "ModifiedByModel": "claude-opus-4-8"
      },
      {
        "CalibrationBinId": "cb-k-4",
        "BinLabel": "cb-k-4",
        "IndividualPrediction": "pred-k",
        "PredictedProbabilityBand": 0.9,
        "ObservedEventRate": 0.93,
        "CoverageCount": 30,
        "Name": "cb-k-4",
        "ParentPath": "/intake/new-patient/nair-kavya/predictions/pred-k",
        "RelativePath": "/intake/new-patient/nair-kavya/predictions/pred-k/bins/cb-k-4",
        "BinAbsError": 0.03,
        "IsWellCalibratedBin": true,
        "SourceQuote": "coverage of 30-35 held-out individuals per reliability bin",
        "CreatedBy": "v2-step10",
        "CreatedAt": "2026-06-20T00:00:00Z",
        "ModifiedBy": "v2-step10",
        "ModifiedAt": "2026-06-20T00:00:00Z",
        "ModifiedByModel": "claude-opus-4-8"
      },
      {
        "CalibrationBinId": "cb-l-0",
        "BinLabel": "cb-l-0",
        "IndividualPrediction": "pred-l",
        "PredictedProbabilityBand": 0.1,
        "ObservedEventRate": 0.09,
        "CoverageCount": 33,
        "Name": "cb-l-0",
        "ParentPath": "/intake/new-patient/brandt-lena/predictions/pred-l",
        "RelativePath": "/intake/new-patient/brandt-lena/predictions/pred-l/bins/cb-l-0",
        "BinAbsError": 0.01,
        "IsWellCalibratedBin": true,
        "SourceQuote": "coverage of 30-36 held-out individuals per reliability bin",
        "CreatedBy": "v2-step10",
        "CreatedAt": "2026-06-20T00:00:00Z",
        "ModifiedBy": "v2-step10",
        "ModifiedAt": "2026-06-20T00:00:00Z",
        "ModifiedByModel": "claude-opus-4-8"
      },
      {
        "CalibrationBinId": "cb-l-1",
        "BinLabel": "cb-l-1",
        "IndividualPrediction": "pred-l",
        "PredictedProbabilityBand": 0.3,
        "ObservedEventRate": 0.31,
        "CoverageCount": 36,
        "Name": "cb-l-1",
        "ParentPath": "/intake/new-patient/brandt-lena/predictions/pred-l",
        "RelativePath": "/intake/new-patient/brandt-lena/predictions/pred-l/bins/cb-l-1",
        "BinAbsError": 0.01,
        "IsWellCalibratedBin": true,
        "SourceQuote": "coverage of 30-36 held-out individuals per reliability bin",
        "CreatedBy": "v2-step10",
        "CreatedAt": "2026-06-20T00:00:00Z",
        "ModifiedBy": "v2-step10",
        "ModifiedAt": "2026-06-20T00:00:00Z",
        "ModifiedByModel": "claude-opus-4-8"
      },
      {
        "CalibrationBinId": "cb-l-2",
        "BinLabel": "cb-l-2",
        "IndividualPrediction": "pred-l",
        "PredictedProbabilityBand": 0.5,
        "ObservedEventRate": 0.52,
        "CoverageCount": 30,
        "Name": "cb-l-2",
        "ParentPath": "/intake/new-patient/brandt-lena/predictions/pred-l",
        "RelativePath": "/intake/new-patient/brandt-lena/predictions/pred-l/bins/cb-l-2",
        "BinAbsError": 0.02,
        "IsWellCalibratedBin": true,
        "SourceQuote": "coverage of 30-36 held-out individuals per reliability bin",
        "CreatedBy": "v2-step10",
        "CreatedAt": "2026-06-20T00:00:00Z",
        "ModifiedBy": "v2-step10",
        "ModifiedAt": "2026-06-20T00:00:00Z",
        "ModifiedByModel": "claude-opus-4-8"
      },
      {
        "CalibrationBinId": "cb-l-3",
        "BinLabel": "cb-l-3",
        "IndividualPrediction": "pred-l",
        "PredictedProbabilityBand": 0.7,
        "ObservedEventRate": 0.68,
        "CoverageCount": 35,
        "Name": "cb-l-3",
        "ParentPath": "/intake/new-patient/brandt-lena/predictions/pred-l",
        "RelativePath": "/intake/new-patient/brandt-lena/predictions/pred-l/bins/cb-l-3",
        "BinAbsError": 0.02,
        "IsWellCalibratedBin": true,
        "SourceQuote": "coverage of 30-36 held-out individuals per reliability bin",
        "CreatedBy": "v2-step10",
        "CreatedAt": "2026-06-20T00:00:00Z",
        "ModifiedBy": "v2-step10",
        "ModifiedAt": "2026-06-20T00:00:00Z",
        "ModifiedByModel": "claude-opus-4-8"
      },
      {
        "CalibrationBinId": "cb-l-4",
        "BinLabel": "cb-l-4",
        "IndividualPrediction": "pred-l",
        "PredictedProbabilityBand": 0.9,
        "ObservedEventRate": 0.92,
        "CoverageCount": 32,
        "Name": "cb-l-4",
        "ParentPath": "/intake/new-patient/brandt-lena/predictions/pred-l",
        "RelativePath": "/intake/new-patient/brandt-lena/predictions/pred-l/bins/cb-l-4",
        "BinAbsError": 0.02,
        "IsWellCalibratedBin": true,
        "SourceQuote": "coverage of 30-36 held-out individuals per reliability bin",
        "CreatedBy": "v2-step10",
        "CreatedAt": "2026-06-20T00:00:00Z",
        "ModifiedBy": "v2-step10",
        "ModifiedAt": "2026-06-20T00:00:00Z",
        "ModifiedByModel": "claude-opus-4-8"
      }
    ]
  },
  "InterventionTargets": {
    "Description": "Validated intervention targets for gene-based and cell-based therapies derived from falsifiable causal mechanisms.",
    "schema": [
      {
        "name": "InterventionTargetId",
        "datatype": "string",
        "type": "raw",
        "nullable": false,
        "Description": "Stable identifier for each intervention target."
      },
      {
        "name": "TargetLabel",
        "datatype": "string",
        "type": "raw",
        "nullable": false,
        "Description": "Target name (gene, pathway, cell type)."
      },
      {
        "name": "CausalMechanism",
        "datatype": "string",
        "type": "raw",
        "nullable": false,
        "Description": "Parent causal mechanism."
      },
      {
        "name": "AutoimmuneDisease",
        "datatype": "string",
        "type": "raw",
        "nullable": false,
        "Description": "Target autoimmune disease."
      },
      {
        "name": "TherapyClass",
        "datatype": "string",
        "type": "raw",
        "nullable": false,
        "Description": "Gene-based, Cell-based, or Environmental."
      },
      {
        "name": "IsValidated",
        "datatype": "boolean",
        "type": "raw",
        "nullable": false,
        "Description": "True when target is validated for clinical trials."
      },
      {
        "name": "Name",
        "datatype": "string",
        "type": "calculated",
        "nullable": true,
        "Description": "Display label.",
        "formula": "={{TargetLabel}}"
      },
      {
        "name": "ParentPath",
        "datatype": "string",
        "type": "lookup",
        "nullable": true,
        "Description": "Lookup: CausalMechanisms.RelativePath via CausalMechanism —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InterventionTarget page, chained under its CausalMechanism parent.",
        "formula": "={{ParentPath}} &amp; \"/targets/\" &amp; {{InterventionTargetId}}"
      },
      {
        "name": "CausalMechanismLabel",
        "datatype": "string",
        "type": "calculated",
        "nullable": true,
        "Description": "Mechanism label lookup.",
        "formula": "=INDEX(CausalMechanisms!{{MechanismLabel}}, MATCH({{CausalMechanism}}, CausalMechanisms!{{CausalMechanismId}}, 0))"
      },
      {
        "name": "IsGeneBasedTherapy",
        "datatype": "boolean",
        "type": "calculated",
        "nullable": true,
        "Description": "True when therapy class is gene-based.",
        "formula": "=IF({{TherapyClass}} = \"Gene-based\", TRUE(), FALSE())"
      },
      {
        "name": "IsCellBasedTherapy",
        "datatype": "boolean",
        "type": "calculated",
        "nullable": true,
        "Description": "True when therapy class is cell-based.",
        "formula": "=IF({{TherapyClass}} = \"Cell-based\", TRUE(), FALSE())"
      }
    ],
    "data": [
      {
        "InterventionTargetId": "it-a",
        "TargetLabel": "IRF5 Regulatory Modulation",
        "CausalMechanism": "cm-a",
        "AutoimmuneDisease": "sle",
        "TherapyClass": "Gene-based",
        "IsValidated": true,
        "Name": "IRF5 Regulatory Modulation",
        "ParentPath": "/intake/new-patient/reyes-ana/mechanisms/cm-a",
        "RelativePath": "/intake/new-patient/reyes-ana/mechanisms/cm-a/targets/it-a",
        "CausalMechanismLabel": "IRF5 regulatory -&gt; type-I IFN -&gt; SLE risk",
        "IsGeneBasedTherapy": true,
        "IsCellBasedTherapy": false
      },
      {
        "InterventionTargetId": "it-b",
        "TargetLabel": "IRF5 Regulatory Modulation",
        "CausalMechanism": "cm-b",
        "AutoimmuneDisease": "sle",
        "TherapyClass": "Gene-based",
        "IsValidated": true,
        "Name": "IRF5 Regulatory Modulation",
        "ParentPath": "/intake/new-patient/okafor-bili/mechanisms/cm-b",
        "RelativePath": "/intake/new-patient/okafor-bili/mechanisms/cm-b/targets/it-b",
        "CausalMechanismLabel": "IRF5 regulatory -&gt; type-I IFN -&gt; SLE risk",
        "IsGeneBasedTherapy": true,
        "IsCellBasedTherapy": false
      },
      {
        "InterventionTargetId": "it-c",
        "TargetLabel": "STAT4 Pathway Modulation",
        "CausalMechanism": "cm-c",
        "AutoimmuneDisease": "sle",
        "TherapyClass": "Gene-based",
        "IsValidated": false,
        "Name": "STAT4 Pathway Modulation",
        "ParentPath": "/intake/new-patient/wei-chen/mechanisms/cm-c",
        "RelativePath": "/intake/new-patient/wei-chen/mechanisms/cm-c/targets/it-c",
        "CausalMechanismLabel": "STAT4 regulatory -&gt; Th1/IFN -&gt; SLE risk",
        "IsGeneBasedTherapy": true,
        "IsCellBasedTherapy": false
      },
      {
        "InterventionTargetId": "it-d",
        "TargetLabel": "IRF5 Regulatory Modulation",
        "CausalMechanism": "cm-d",
        "AutoimmuneDisease": "sle",
        "TherapyClass": "Gene-based",
        "IsValidated": true,
        "Name": "IRF5 Regulatory Modulation",
        "ParentPath": "/intake/new-patient/santos-diego/mechanisms/cm-d",
        "RelativePath": "/intake/new-patient/santos-diego/mechanisms/cm-d/targets/it-d",
        "CausalMechanismLabel": "IRF5 regulatory -&gt; type-I IFN -&gt; SLE risk",
        "IsGeneBasedTherapy": true,
        "IsCellBasedTherapy": false
      },
      {
        "InterventionTargetId": "it-f",
        "TargetLabel": "IL-17 Pathway Blockade (secukinumab)",
        "CausalMechanism": "cm-f",
        "AutoimmuneDisease": "psa",
        "TherapyClass": "Cell-based",
        "IsValidated": true,
        "Name": "IL-17 Pathway Blockade (secukinumab)",
        "ParentPath": "/intake/new-patient/haidar-faisal/mechanisms/cm-f",
        "RelativePath": "/intake/new-patient/haidar-faisal/mechanisms/cm-f/targets/it-f",
        "CausalMechanismLabel": "IL23R regulatory -&gt; IL-17 axis -&gt; PsA risk",
        "IsGeneBasedTherapy": false,
        "IsCellBasedTherapy": true
      },
      {
        "InterventionTargetId": "it-g",
        "TargetLabel": "IL-17 Pathway Blockade (secukinumab)",
        "CausalMechanism": "cm-g",
        "AutoimmuneDisease": "psa",
        "TherapyClass": "Cell-based",
        "IsValidated": true,
        "Name": "IL-17 Pathway Blockade (secukinumab)",
        "ParentPath": "/intake/new-patient/lin-grace/mechanisms/cm-g",
        "RelativePath": "/intake/new-patient/lin-grace/mechanisms/cm-g/targets/it-g",
        "CausalMechanismLabel": "IL23R regulatory -&gt; IL-17 axis -&gt; PsA risk",
        "IsGeneBasedTherapy": false,
        "IsCellBasedTherapy": true
      },
      {
        "InterventionTargetId": "it-h",
        "TargetLabel": "IRF5 Regulatory Modu</t>
  </si>
  <si>
    <t xml:space="preserve">lation",
        "CausalMechanism": "cm-h",
        "AutoimmuneDisease": "sle",
        "TherapyClass": "Gene-based",
        "IsValidated": true,
        "Name": "IRF5 Regulatory Modulation",
        "ParentPath": "/intake/new-patient/yamamoto-hana/mechanisms/cm-h",
        "RelativePath": "/intake/new-patient/yamamoto-hana/mechanisms/cm-h/targets/it-h",
        "CausalMechanismLabel": "IRF5 regulatory -&gt; type-I IFN -&gt; SLE risk",
        "IsGeneBasedTherapy": true,
        "IsCellBasedTherapy": false,
        "CreatedBy": "v2-step10",
        "CreatedAt": "2026-06-20T00:00:00Z",
        "ModifiedBy": "v2-step10",
        "ModifiedAt": "2026-06-20T00:00:00Z",
        "ModifiedByModel": "claude-opus-4-8"
      },
      {
        "InterventionTargetId": "it-i",
        "TargetLabel": "IRF5 Regulatory Modulation",
        "CausalMechanism": "cm-i",
        "AutoimmuneDisease": "sle",
        "TherapyClass": "Gene-based",
        "IsValidated": true,
        "Name": "IRF5 Regulatory Modulation",
        "ParentPath": "/intake/new-patient/conteh-ibrahim/mechanisms/cm-i",
        "RelativePath": "/intake/new-patient/conteh-ibrahim/mechanisms/cm-i/targets/it-i",
        "CausalMechanismLabel": "IRF5 regulatory -&gt; type-I IFN -&gt; SLE risk",
        "IsGeneBasedTherapy": true,
        "IsCellBasedTherapy": false,
        "CreatedBy": "v2-step10",
        "CreatedAt": "2026-06-20T00:00:00Z",
        "ModifiedBy": "v2-step10",
        "ModifiedAt": "2026-06-20T00:00:00Z",
        "ModifiedByModel": "claude-opus-4-8"
      },
      {
        "InterventionTargetId": "it-j",
        "TargetLabel": "IRF5 Regulatory Modulation",
        "CausalMechanism": "cm-j",
        "AutoimmuneDisease": "sle",
        "TherapyClass": "Gene-based",
        "IsValidated": true,
        "Name": "IRF5 Regulatory Modulation",
        "ParentPath": "/intake/new-patient/brooks-jamal/mechanisms/cm-j",
        "RelativePath": "/intake/new-patient/brooks-jamal/mechanisms/cm-j/targets/it-j",
        "CausalMechanismLabel": "IRF5 regulatory -&gt; type-I IFN -&gt; SLE risk",
        "IsGeneBasedTherapy": true,
        "IsCellBasedTherapy": false,
        "CreatedBy": "v2-step10",
        "CreatedAt": "2026-06-20T00:00:00Z",
        "ModifiedBy": "v2-step10",
        "ModifiedAt": "2026-06-20T00:00:00Z",
        "ModifiedByModel": "claude-opus-4-8"
      },
      {
        "InterventionTargetId": "it-k",
        "TargetLabel": "IL-17 Pathway Blockade (secukinumab)",
        "CausalMechanism": "cm-k",
        "AutoimmuneDisease": "psa",
        "TherapyClass": "Cell-based",
        "IsValidated": true,
        "Name": "IL-17 Pathway Blockade (secukinumab)",
        "ParentPath": "/intake/new-patient/nair-kavya/mechanisms/cm-k",
        "RelativePath": "/intake/new-patient/nair-kavya/mechanisms/cm-k/targets/it-k",
        "CausalMechanismLabel": "IL23R regulatory -&gt; IL-17 axis -&gt; PsA risk",
        "IsGeneBasedTherapy": false,
        "IsCellBasedTherapy": true,
        "CreatedBy": "v2-step10",
        "CreatedAt": "2026-06-20T00:00:00Z",
        "ModifiedBy": "v2-step10",
        "ModifiedAt": "2026-06-20T00:00:00Z",
        "ModifiedByModel": "claude-opus-4-8"
      },
      {
        "InterventionTargetId": "it-l",
        "TargetLabel": "IL-17 Pathway Blockade (secukinumab)",
        "CausalMechanism": "cm-l",
        "AutoimmuneDisease": "psa",
        "TherapyClass": "Cell-based",
        "IsValidated": true,
        "Name": "IL-17 Pathway Blockade (secukinumab)",
        "ParentPath": "/intake/new-patient/brandt-lena/mechanisms/cm-l",
        "RelativePath": "/intake/new-patient/brandt-lena/mechanisms/cm-l/targets/it-l",
        "CausalMechanismLabel": "IL23R regulatory -&gt; IL-17 axis -&gt; PsA risk",
        "IsGeneBasedTherapy": false,
        "IsCellBasedTherapy": true,
        "CreatedBy": "v2-step10",
        "CreatedAt": "2026-06-20T00:00:00Z",
        "ModifiedBy": "v2-step10",
        "ModifiedAt": "2026-06-20T00:00:00Z",
        "ModifiedByModel": "claude-opus-4-8"
      }
    ]
  },
  "Axioms": {
    "Description": "Non-negotiable invariants the platform must obey. Load-bearing constraints, not per-loop work. Captured from the gauntlet conversation.",
    "schema": [
      {
        "name": "AxiomId",
        "datatype": "string",
        "type": "raw",
        "nullable": false,
        "Description": "Stable identifier for the axiom."
      },
      {
        "name": "Statement",
        "datatype": "string",
        "type": "raw",
        "nullable": false,
        "Description": "The invariant, stated as a rule."
      },
      {
        "name": "Rationale",
        "datatype": "string",
        "type": "raw",
        "nullable": false,
        "Description": "Why this must hold / what it defends against."
      },
      {
        "name": "Category",
        "datatype": "string",
        "type": "raw",
        "nullable": false,
        "Description": "Grouping: trust-boundary | solve-by-inference | knob | witness | scope | report-derivation."
      },
      {
        "name": "Name",
        "datatype": "string",
        "type": "calculated",
        "nullable": true,
        "Description": "Display label.",
        "formula": "={{Statement}}"
      },
      {
        "name": "RelativePath",
        "datatype": "string",
        "type": "calculated",
        "nullable": true,
        "Description": "Path to this Axioms entry: /admin/axioms/&lt;id&gt;.",
        "formula": "=\"/admin/axioms/\" &amp; {{AxiomId}}"
      }
    ],
    "data": [
      {
        "AxiomId": "ax-llm-no-vote",
        "Statement": "The LLM never gets a vote on the conclusion.",
        "Rationale": "Demotes the model to intake-clerk + lab; the verdict is the deterministic DAG's, never the model's.",
        "Category": "trust-boundary",
        "Name": "The LLM never gets a vote on the conclusion.",
        "RelativePath": "/admin/axioms/ax-llm-no-vote"
      },
      {
        "AxiomId": "ax-keystone-computed",
        "Statement": "IsClinicallyActionable is computed, never entered.",
        "Rationale": "No field a curator (human or LLM) can set to make the diagnosis come out right.",
        "Category": "solve-by-inference",
        "Name": "IsClinicallyActionable is computed, never entered.",
        "RelativePath": "/admin/axioms/ax-keystone-computed"
      },
      {
        "AxiomId": "ax-line-in-dag",
        "Statement": "The trust boundary is a line in the DAG: fields with a formula are the model's; raw-input leaf fields are the LLM's (or a human's).",
        "Rationale": "Makes the boundary mechanically checkable rather than a vibe.",
        "Category": "trust-boundary",
        "Name": "The trust boundary is a line in the DAG: fields with a formula are the model's; raw-input leaf fields are the LLM's (or a human's).",
        "RelativePath": "/admin/axioms/ax-line-in-dag"
      },
      {
        "AxiomId": "ax-llm-leaves-only",
        "Statement": "The LLM does exactly two things, both at the leaf layer: interpret intake facts, and produce synthetic-but-transparent test results.",
        "Rationale": "Intake clerk + lab — the un-alarming medical roles. It computes no higher-order inference.",
        "Category": "trust-boundary",
        "Name": "The LLM does exactly two things, both at the leaf layer: interpret intake facts, and produce synthetic-but-transparent test results.",
        "RelativePath": "/admin/axioms/ax-llm-leaves-only"
      },
      {
        "AxiomId": "ax-every-choice-knob",
        "Statement": "Every choice the LLM makes is a literal, editable knob in the admin UI.",
        "Rationale": "The model's judgment is fully externalized; a wrong input is nudged, not re-prompted.",
        "Category": "knob",
        "Name": "Every choice the LLM makes is a literal, editable knob in the admin UI.",
        "RelativePath": "/admin/axioms/ax-every-choice-knob"
      },
      {
        "AxiomId": "ax-formula-local-edit",
        "Statement": "Every DAG formula is inspectable and correctable in place, like a spreadsheet cell.",
        "Rationale": "Editing a value or formula body is local to its dependency subtree; only retyping/regraphing ripples.",
        "Category": "knob",
        "Name": "Every DAG formula is inspectable and correctable in place, like a spreadsheet cell.",
        "RelativePath": "/admin/axioms/ax-formula-local-edit"
      },
      {
        "AxiomId": "ax-independent-witness",
        "Statement": "Extraction and derivation are verifiable independently (three-panel witness).",
        "Rationale": "Input case text -&gt; extracted facts w/ provenance -&gt; deterministic diagnosis. Defeats the laundering objection.",
        "Category": "witness",
        "Name": "Extraction and derivation are verifiable independently (three-panel witness).",
        "RelativePath": "/admin/axioms/ax-independent-witness"
      },
      {
        "AxiomId": "ax-both-verdicts",
        "Statement": "The same deterministic machine must land on either side and name the single deciding gate.",
        "Rationale": "An engine that only ever says \"actionable\" proves nothing.",
        "Category": "solve-by-inference",
        "Name": "The same deterministic machine must land on either side and name the single deciding gate.",
        "RelativePath": "/admin/axioms/ax-both-verdicts"
      },
      {
        "AxiomId": "ax-report-derived-not-prose",
        "Statement": "The diagnosis report is derived, never authored as prose; it is structured natural language assembled from the DAG.",
        "Rationale": "A prose writeup would be a second, unwitnessed surface where a hallucination could hide. The report must be a deterministic projection of facts already in the graph, the same way Postgres views are.",
        "Category": "report-derivation",
        "Name": "The diagnosis report is derived, never authored as prose; it is structured natural language assembled from the DAG.",
        "RelativePath": "/admin/axioms/ax-report-derived-not-prose"
      },
      {
        "AxiomId": "ax-report-total-coverage",
        "Statement": "Every word the patient gave us, and every node linked to that patient in the DAG down to ground truth, is represented somewhere in that patient's report.",
        "Rationale": "Completeness is the whole point: nothing the patient said and no derived fact may silently vanish from the writeup. If a value mattered enough to enter the DAG, it earns a sentence (or a deliberate, predicate-suppressed absence).",
        "Category": "report-derivation",
        "Name": "Every word the patient gave us, and every node linked to that patient in the DAG down to ground truth, is represented somewhere in that patient's report.",
        "RelativePath": "/admin/axioms/ax-report-total-coverage"
      },
      {
        "AxiomId": "ax-report-cell-simple",
        "Statement": "No single piece of report language is more complex than one spreadsheet cell: it references sibling values directly and does no joins or group-bys.",
        "Rationale": "CMCC/SDLAF discipline. A narrative fragment is a calculated field on a row; it reads other fields of that same row (and global phrases from __meta), never traverses or aggregates. Complex sentences are decomposed into constituent fragment fields, each one cell-simple.",
        "Category": "report-derivation",
        "Name": "No single piece of report language is more complex than one spreadsheet cell: it references sibling values directly and does no joins or group-bys.",
        "RelativePath": "/admin/axioms/ax-report-cell-simple"
      },
      {
        "AxiomId": "ax-report-predicate-gated",
        "Statement": "A fragment's language only appears when its predicates hold for that row; irrelevant language is suppressed per case.",
        "Rationale": "Case-by-case, not a globally imposed template. The same field yields \"normal temperature\", \"light fever\", or \"severe fever\" depending on the row's own value; a fragment whose predicate is false renders empty and contributes nothing to that patient's report.",
        "Category": "report-derivation",
        "Name": "A fragment's language only appears when its predicates hold for that row; irrelevant language is suppressed per case.",
        "RelativePath": "/admin/axioms/ax-report-predicate-gated"
      },
      {
        "AxiomId": "ax-report-intermediate-translations",
        "Statement": "Complex language is built from intermediate translation fields: calculated text fragments composed from other predicates on the same row, then composed upward.",
        "Rationale": "The way to keep every piece cell-simple is to pull a complex sentence apart into its constituent fragments, each its own field, and let higher fragments reference lower ones. The report is the top of that composition, not a monolith.",
        "Category": "report-derivation",
        "Name": "Complex language is built from intermediate translation fields: calculated text fragments composed from other predicates on the same row, then composed upward.",
        "RelativePath": "/admin/axioms/ax-report-intermediate-translations"
      },
      {
        "AxiomId": "ax-report-reuse-global-phrases",
        "Statement": "Common, reusable language lives once in the __meta settings table and is referenced by fragments; it is not re-implemented per case.",
        "Rationale": "Literal global phrases (\"The patient presented with…\") and shared banding vocabulary belong in __meta so they are authored and corrected in one place. Fragments reference them; the per-row logic stays contextual while the wording stays DRY.",
        "Category": "report-derivation",
        "Name": "Common, reusable language lives once in the __meta settings table and is referenced by fragments; it is not re-implemented per case.",
        "RelativePath": "/admin/axioms/ax-report-reuse-global-phrases"
      },
      {
        "AxiomId": "ax-schema-rulespeak-report-derived",
        "Statement": "The schema may be expressed in RuleSpeak-style language, but the diagnosis report itself is derived (rendered), not declared.",
        "Rationale": "RuleSpeak documents the rules; it is not the patient-facing artifact. The report is a rendered projection of each patient's row values through the fragment fields — generated by a thin renderer that only concatenates already-derived, predicate-gated fragments in order.",
        "Category": "report-derivation",
        "Name": "The schema may be expressed in RuleSpeak-style language, but the diagnosis report itself is derived (rendered), not declared.",
        "RelativePath": "/admin/axioms/ax-schema-rulespeak-report-derived"
      }
    ]
  },
  "TestsForSuccess": {
    "Description": "Falsifiable conditions that prove the axioms hold. The human-readable index of what each demonstration shows; many are realized in the witnessed harness.",
    "schema": [
      {
        "name": "TestForSuccessId",
        "datatype": "string",
        "type": "raw",
        "nullable": false,
        "Description": "Stable identifier."
      },
      {
        "name": "Claim",
        "datatype": "string",
        "type": "raw",
        "nullable": false,
        "Description": "The success condition, stated falsifiably."
      },
      {
        "name": "HowWitnessed",
        "datatype": "string",
        "type": "raw",
        "nullable": false,
        "Description": "How a human/expert confirms it without trusting the code."
      },
      {
        "name": "RelatedHarnessFile",
        "datatype": "string",
        "type": "raw",
        "nullable": true,
        "Description": "Harness file that realizes it, if any."
      },
      {
        "name": "Status",
        "datatype": "string",
        "type": "raw",
        "nullable": false,
        "Description": "red | green | planned."
      },
      {
        "name": "Name",
        "datatype": "string",
        "type": "calculated",
        "nullable": true,
        "Description": "Display label.",
        "formula": "={{Claim}}"
      },
      {
        "name": "RelativePath",
        "datatype": "string",
        "type": "calculated",
        "nullable": true,
        "Description": "Path to this TestsForSuccess entry: /admin/tests-for-success/&lt;id&gt;.",
        "formula": "=\"/admin/tests-for-success/\" &amp; {{TestForSuccessId}}"
      }
    ],
    "data": [
      {
        "TestForSuccessId": "tfs-one-gate-each",
        "Claim": "Five of seven patients fail, each on exactly one gate.",
        "HowWitnessed": "Coverage matrix in scenarios.md; L6/L7 harness assert the deciding gate per patient.",
        "RelatedHarnessFile": "admin-app/tests/L6-gates.test.js",
        "Status": "red",
        "Name": "Five of seven patients fail, each on exactly one gate.",
        "RelativePath": "/admin/tests-for-success/tfs-one-gate-each"
      },
      {
        "TestForSuccessId": "tfs-both-sides",
        "Claim": "The same machine produces TRUE for {A,G} and FALSE for {B,C,D,E,F}.",
        "HowWitnessed": "L7-cohort.test.js asserts exactly {A,G} actionable as a set.",
        "RelatedHarnessFile": "admin-app/tests/L7-cohort.test.js",
        "Status": "red",
        "Name": "The same machine produces TRUE for {A,G} and FALSE for {B,C,D,E,F}.",
        "RelativePath": "/admin/tests-for-success/tfs-both-sides"
      },
      {
        "TestForSuccessId": "tfs-no-hand-entry",
        "Claim": "Raw facts alone derive the keystone with no hand-entered answer anywhere.",
        "HowWitnessed": "Every leaf in the harness is a raw observation; keystone == AND(gates) cross-check.",
        "RelatedHarnessFile": "admin-app/tests/L7-keystone.test.js",
        "Status": "red",
        "Name": "Raw facts alone derive the keystone with no hand-entered answer anywhere.",
        "RelativePath": "/admin/tests-for-success/tfs-no-hand-entry"
      },
      {
        "TestForSuccessId": "tfs-extraction-faithful",
        "Claim": "Extracted leaf facts are checkable against the source case text, independently of the verdict.",
        "HowWitnessed": "Three-panel witness view: per-fact provenance pointer back into the case text.",
        "RelatedHarnessFile": "",
        "Status": "planned",
        "Name": "Extracted leaf facts are checkable against the source case text, independently of the verdict.",
        "RelativePath": "/admin/tests-for-success/tfs-extraction-faithful"
      },
      {
        "TestForSuccessId": "tfs-all-seven",
        "Claim": "All seven oracle patients resolve to their expected keystone value.",
        "HowWitnessed": "Build verification asserts the scenarios.md oracle against vw_individualpredictions.",
        "RelatedHarnessFile": "admin-app/tests/L7-keystone.test.js",
        "Status": "red",
        "Name": "All seven oracle patients resolve to their expected keystone value.",
        "RelativePath": "/admin/tests-for-success/tfs-all-seven"
      },
      {
        "TestForSuccessId": "tfs-witnessed-reasoning",
        "Claim": "Each derived node carries an expert-verifiable line of reasoning.",
        "HowWitnessed": "Derivation trace from derivation-spec.md printed in every test name/failure.",
        "RelatedHarnessFile": "admin-app/tests/README.md",
        "Status": "red",
        "Name": "Each derived node carries an expert-verifiable line of reasoning.",
        "RelativePath": "/admin/tests-for-success/tfs-witnessed-reasoning"
      },
      {
        "TestForSuccessId": "tfs-report-covers-every-word",
        "Claim": "Every word the patient gave us appears somewhere in that patient's derived report (no patient input is dropped).",
        "HowWitnessed": "Coverage check: tokenize each patient's source intake text; assert each meaningful token is traceable into at least one rendered report fragment (directly quoted or its derived translation).",
        "RelatedHarnessFile": "admin-app/tests/report-coverage.test.js",
        "Status": "planned",
        "Name": "Every word the patient gave us appears somewhere in that patient's derived report (no patient input is dropped).",
        "RelativePath": "/admin/tests-for-success/tfs-report-covers-every-word"
      },
      {
        "TestForSuccessId": "tfs-report-covers-every-dag-node",
        "Claim": "Every DAG node linked to a patient, down to ground truth, is represented somewhere in that patient's report.",
        "HowWitnessed": "Walk the patient's subgraph (keystone -&gt; gates -&gt; evidence -&gt; raw leaves); assert each visited node contributes at least one rendered fragment, or is deliberately suppressed by a false predicate that the report names.",
        "RelatedHarnessFile": "admin-app/tests/report-coverage.test.js",
        "Status": "planned",
        "Name": "Every DAG node linked to a patient, down to ground truth, is represented somewhere in that patient's report.",
        "RelativePath": "/admin/tests-for-success/tfs-report-covers-every-dag-node"
      },
      {
        "TestForSuccessId": "tfs-report-cell-simple",
        "Claim": "No narrative fragment field traverses, joins, or aggregates; each reads only sibling fields of its own row plus __meta__ phrases.",
        "HowWitnessed": "Static lint over fragment formulas: reject any formula that references another table or a rollup/lookup across rows; fragments may reference {{SiblingField}} and __meta__ keys only.",
        "RelatedHarnessFile": "admin-app/tests/report-fragments.test.js",
        "Status": "planned",
        "Name": "No narrative fragment field traverses, joins, or aggregates; each reads only sibling fields of its own row plus __meta__ phrases.",
        "RelativePath": "/admin/tests-for-success/tfs-report-cell-simple"
      },
      {
        "TestForSuccessId": "tfs-report-deterministic",
        "Claim": "The same patient row always renders the byte-identical report; the report is a pure projection of the DAG with no model in the loop.",
        "HowWitnessed": "Render each patient twice and diff; assert zero difference and that the renderer makes no LLM/network calls.",
        "RelatedHarnessFile": "admin-app/tests/report-deterministic.test.js",
        "Status": "planned",
        "Name": "The same patient row always renders the byte-identical report; the report is a pure projection of the DAG with no model in the loop.",
        "RelativePath": "/admin/tests-for-success/tfs-report-deterministic"
      }
    ]
  },
  "Features": {
    "Description": "Catalog of buildable capabilities the platform has / allows for. Coarser grain than loops. Each row carries challenge provenance (ChallengeRefs: exact quoted text + file/line/col into THE-ORIGINAL-CHALLENGE.md, for UI hover tips), a Category, a Priority, and a free-form Markdown ChallengeNotes comment. Source of truth for the DERIVED PLATFORM_FEATURES.md. AssignedLoop links a feature to the loop that delivers it (nullable until scheduled).",
    "schema": [
      {
        "name": "FeatureId",
        "datatype": "string",
        "type": "raw",
        "nullable": false,
        "Description": "Stable identifier."
      },
      {
        "name": "Title",
        "datatype": "string",
        "type": "raw",
        "nullable": false,
        "Description": "Short feature name."
      },
      {
        "name": "Category",
        "datatype": "string",
        "type": "raw",
        "nullable": false,
        "Description": "Which layer of the platform this belongs to (Keystone / inference DAG, Leaf / LLM surface, Witness / harness, Disease-state simulation, Treatment reasoning, Corpus-level discovery, Reporting, Platform infrastructure)."
      },
      {
        "name": "Priority",
        "datatype": "string",
        "type": "raw",
        "nullable": false,
        "Description": "Load-bearing | Supporting | Roadmap."
      },
      {
        "name": "Description",
        "datatype": "string",
        "type": "raw",
        "nullable": false,
        "Description": "What the capability does (factual, not a pitch)."
      },
      {
        "name": "ChallengeRefs",
        "datatype": "string",
        "type": "raw",
        "nullable": true,
        "Description": "JSON array of provenance pointers into THE-ORIGINAL-CHALLENGE.md. Each: {file,line,col,len,quote,section,relation}. col is the 0-based char offset within the line; len is the quote length; section is prompt|payoff|audit|response; relation is direct|indirect. Drives UI hover tips that highlight the exact span."
      },
      {
        "name": "ChallengeRefsRendered",
        "datatype": "string",
        "type": "raw",
        "nullable": true,
        "Description": "Pre-flattened Markdown bullet list of ChallengeRefs, so the dumb hbars template can print it verbatim (the engine has no loop-over-JSON helper)."
      },
      {
        "name": "ChallengeNotes",
        "datatype": "string",
        "type": "raw",
        "nullable": true,
        "Description": "Free-form Markdown comment: which challenge elements this relates to (directly or indirectly) and how it is load-bearing or illustrative."
      },
      {
        "name": "RefCount",
        "datatype": "number",
        "type": "raw",
        "nullable": false,
        "Description": "Number of challenge refs (carried as raw for display; the hbars engine can't count a JSON string)."
      },
      {
        "name": "AssignedLoop",
        "datatype": "string",
        "type": "raw",
        "nullable": true,
        "Description": "FK -&gt; EffortlessLoops.EffortlessLoopId; empty if unscheduled."
      },
      {
        "name": "Name",
        "datatype": "string",
        "type": "calculated",
        "nullable": true,
        "Description": "Display label.",
        "formula": "={{Title}}"
      },
      {
        "name": "RelativePath",
        "datatype": "string",
        "type": "calculated",
        "nullable": true,
        "Description": "Path to this Features entry: /admin/features/&lt;id&gt;.",
        "formula": "=\"/admin/features/\" &amp; {{FeatureId}}"
      },
      {
        "name": "MetaLine",
        "datatype": "string",
        "type": "calculated",
        "nullable": true,
        "Description": "One-line meta summary for the catalog (category - priority - ref count).",
        "formula": "=\"**Category:** \" &amp; {{Category}} &amp; \" - **Priority:** \" &amp; {{Priority}} &amp; \" - **Challenge refs:** \" &amp; {{RefCount}}"
      }
    ],
    "data": [
      {
        "FeatureId": "feat-keystone-actionability-gate",
        "Title": "Four-gate clinical-actionability keystone",
        "Category": "Keystone / inference DAG",
        "Priority": "Load-bearing",
        "Description": "The entire system reduces to one computed boolean, `IndividualPredictions.IsClinicallyActionable`, TRUE only when all four derived gates hold (causally grounded, well-calibrated, non-spurious, ancestry-generalizable). Computed from a pure formula DAG, never entered. Seven synthetic patients land on both sides; each failure names the single deciding gate.",
        "ChallengeRefs": "[{\"file\": \"THE-ORIGINAL-CHALLENGE.md\", \"line\": 6, \"col\": 223, \"len\": 87, \"quote\": \"individualized prevention, presymptomatic diagnosis, ancestry-equitable risk prediction\", \"section\": \"payoff\", \"relation\": \"direct\"}, {\"file\": \"THE-ORIGINAL-CHALLENGE.md\", \"line\": 4, \"col\": 1608, \"len\": 68, \"quote\": \"with calibrated uncertainty and no reliance on spurious correlations\", \"section\": \"prompt\", \"relation\": \"direct\"}, {\"file\": \"THE-ORIGINAL-CHALLENGE.md\", \"line\": 4, \"col\": 351, \"len\": 79, \"quote\": \"identify the complete causal architecture of a heterogeneous autoimmune disease\", \"section\": \"prompt\", \"relation\": \"indirect\"}]",
        "ChallengeRefsRendered": "- **directly addresses** (payoff, `THE-ORIGINAL-CHALLENGE.md` L6:223+87): _individualized prevention, presymptomatic diagnosis, ancestry-equitable risk prediction_\n- **directly addresses** (prompt, `THE-ORIGINAL-CHALLENGE.md` L4:1608+68): _with calibrated uncertainty and no reliance on spurious correlations_\n- **indirectly supports** (prompt, `THE-ORIGINAL-CHALLENGE.md` L4:351+79): _identify the complete causal architecture of a heterogeneous autoimmune disease_",
        "ChallengeNotes": "This is the north-star reduction. It directly operationalizes the payoff paragraph's \"individualized... ancestry-equitable... actionable prediction\" and the prompt's demand for *calibrated uncertainty and no reliance on spurious correlations*. The four gates are the four hardest constraints in the prompt, each made a falsifiable boolean rather than a promise.",
        "RefCount": 3,
        "AssignedLoop": "",
        "Name": "Four-gate clinical-actionability keystone",
        "RelativePath": "/admin/features/feat-keystone-actionability-gate",
        "MetaLine": "**Category:** Keystone / inference DAG - **Priority:** Load-bearing - **Challenge refs:** 3"
      },
      {
        "FeatureId": "feat-trust-boundary-line-in-dag",
        "Title": "Trust boundary as a line in the DAG",
        "Category": "Keystone / inference DAG",
        "Priority": "Load-bearing",
        "Description": "Any field with a formula belongs to the model; any raw-input field is the human's (or the LLM's, as an overridable front-end). Every Z-stat, gate, and the keystone is a pure inspectable formula; nothing above the leaves is enterable. The trust boundary is literally an edge in the dependency graph.",
        "ChallengeRefs": "[{\"file\": \"THE-ORIGINAL-CHALLENGE.md\", \"line\": 4, \"col\": 1608, \"len\": 68, \"quote\": \"with calibrated uncertainty and no reliance on spurious correlations\", \"section\": \"prompt\", \"relation\": \"direct\"}, {\"file\": \"THE-ORIGINAL-CHALLENGE.md\", \"line\": 66, \"col\": 191, \"len\": 37, \"quote\": \"decomposes into inspectable structure\", \"section\": \"response\", \"relation\": \"indirect\"}]",
        "ChallengeRefsRendered": "- **directly addresses** (prompt, `THE-ORIGINAL-CHALLENGE.md` L4:1608+68): _with calibrated uncertainty and no reliance on spurious correlations_\n- **indirectly supports** (response, `THE-ORIGINAL-CHALLENGE.md` L66:191+37): _decomposes into inspectable structure_",
        "ChallengeNotes": "This is the conceptual spine that makes the whole platform auditable rather than 'an LLM that diagnoses'. It is what lets the system claim *no reliance on spurious correlations* structurally (the V2 response: known reasoning *decomposes into inspectable structure*).",
        "RefCount": 2,
        "AssignedLoop": "",
        "Name": "Trust boundary as a line in the DAG",
        "RelativePath": "/admin/features/feat-trust-boundary-line-in-dag",
        "MetaLine": "**Category:** Keystone / inference DAG - **Priority:** Load-bearing - **Challenge refs:** 2"
      },
      {
        "FeatureId": "feat-llm-intake-clerk",
        "Title": "LLM intake clerk",
        "Category": "Leaf / LLM surface",
        "Priority": "Load-bearing",
        "Description": "LLM reads a natural-language case and writes raw intake observation rows (ancestry, allele freqs, presenting facts) to base tables. It interprets the case like an intake nurse and never computes a single inference above the leaf layer.",
        "ChallengeRefs": "[{\"file\": \"THE-ORIGINAL-CHALLENGE.md\", \"line\": 4, \"col\": 751, \"len\": 65, \"quote\": \"resolving cell-state-specific effects, allele-specific expression\", \"section\": \"prompt\", \"relation\": \"indirect\"}, {\"file\": \"THE-ORIGINAL-CHALLENGE.md\", \"line\": 4, \"col\": 1446, \"len\": 83, \"quote\": \"accurately predict disease onset, severity, treatment response, and adverse effects\", \"section\": \"prompt\", \"relation\": \"indirect\"}]",
        "ChallengeRefsRendered": "- **indirectly supports** (prompt, `THE-ORIGINAL-CHALLENGE.md` L4:751+65): _resolving cell-state-specific effects, allele-specific expression_\n- **indirectly supports** (prompt, `THE-ORIGINAL-CHALLENGE.md` L4:1446+83): _accurately predict disease onset, severity, treatment response, and adverse effects_",
        "ChallengeNotes": "Addresses the front of the challenge's data pipeline: turning heterogeneous clinical input into structured observations. The LLM is the *transcriber*, never the diagnostician - the half of the trust boundary that stays human-overridable.",
        "RefCount": 2,
        "AssignedLoop": "",
        "Name": "LLM intake clerk",
        "RelativePath": "/admin/features/feat-llm-intake-clerk",
        "MetaLine": "**Category:** Leaf / LLM surface - **Priority:** Load-bearing - **Challenge refs:** 2"
      },
      {
        "FeatureId": "feat-synthetic-lab",
        "Title": "Synthetic-but-transparent lab generator",
        "Category": "Leaf / LLM surface",
        "Priority": "Load-bearing",
        "Description": "</t>
  </si>
  <si>
    <t xml:space="preserve">LLM emits the case's test results (effect sizes/SEs, replication signs/p-values, permutation effect sizes, calibration coverage) as visible, sourced, editable leaf rows. The numbers are fake (the case is invented) but every value is transparent, sourced to the case, and editable.",
        "ChallengeRefs": "[{\"file\": \"THE-ORIGINAL-CHALLENGE.md\", \"line\": 4, \"col\": 818, \"len\": 54, \"quote\": \"3D enhancer–promoter interactions, rare-variant burden\", \"section\": \"prompt\", \"relation\": \"indirect\"}, {\"file\": \"THE-ORIGINAL-CHALLENGE.md\", \"line\": 4, \"col\": 1396, \"len\": 45, \"quote\": \"produce experimentally falsifiable mechanisms\", \"section\": \"prompt\", \"relation\": \"indirect\"}]",
        "ChallengeRefsRendered": "- **indirectly supports** (prompt, `THE-ORIGINAL-CHALLENGE.md` L4:818+54): _3D enhancer-promoter interactions, rare-variant burden_\n- **indirectly supports** (prompt, `THE-ORIGINAL-CHALLENGE.md` L4:1396+45): _produce experimentally falsifiable mechanisms_",
        "ChallengeNotes": "Stands in for the prompt's enormous multi-omic measurement surface. The point isn't real biology (out of scope); it's that the *shape* real measurements would slot into exists, with each number a visible, correctable knob - defeating 'a hallucination laundered through a deterministic function'.",
        "RefCount": 2,
        "AssignedLoop": "",
        "Name": "Synthetic-but-transparent lab generator",
        "RelativePath": "/admin/features/feat-synthetic-lab",
        "MetaLine": "**Category:** Leaf / LLM surface - **Priority:** Load-bearing - **Challenge refs:** 2"
      },
      {
        "FeatureId": "feat-three-panel-witness",
        "Title": "Three-panel witness view",
        "Category": "Witness / harness",
        "Priority": "Load-bearing",
        "Description": "Input case text | extracted facts with per-fact provenance back into the text | deterministic diagnosis + four-gate trace. The middle panel is human-checkable independently of the verdict.",
        "ChallengeRefs": "[{\"file\": \"THE-ORIGINAL-CHALLENGE.md\", \"line\": 4, \"col\": 1608, \"len\": 68, \"quote\": \"with calibrated uncertainty and no reliance on spurious correlations\", \"section\": \"prompt\", \"relation\": \"indirect\"}]",
        "ChallengeRefsRendered": "- **indirectly supports** (prompt, `THE-ORIGINAL-CHALLENGE.md` L4:1608+68): _with calibrated uncertainty and no reliance on spurious correlations_",
        "ChallengeNotes": "This is the anti-laundering instrument: it lets a reviewer verify the extracted leaves against the source text *before* trusting any derived conclusion. Indirectly serves the prompt's demand for *no reliance on spurious correlations* by making the raw-&gt;derived path inspectable end to end.",
        "RefCount": 1,
        "AssignedLoop": "",
        "Name": "Three-panel witness view",
        "RelativePath": "/admin/features/feat-three-panel-witness",
        "MetaLine": "**Category:** Witness / harness - **Priority:** Load-bearing - **Challenge refs:** 1"
      },
      {
        "FeatureId": "feat-witnessed-harness-home",
        "Title": "Witnessed red-&gt;green inference harness (home screen)",
        "Category": "Witness / harness",
        "Priority": "Load-bearing",
        "Description": "The app's home page IS a red/green test tree, not a form. Every category of inference (the DAG levels / the four gates) and the specific tests under each are asserted against the app's own API for all patients. As the model is built out, tests turn green; a fully green run is the proof.",
        "ChallengeRefs": "[{\"file\": \"THE-ORIGINAL-CHALLENGE.md\", \"line\": 4, \"col\": 1396, \"len\": 45, \"quote\": \"produce experimentally falsifiable mechanisms\", \"section\": \"prompt\", \"relation\": \"indirect\"}, {\"file\": \"THE-ORIGINAL-CHALLENGE.md\", \"line\": 66, \"col\": 191, \"len\": 37, \"quote\": \"decomposes into inspectable structure\", \"section\": \"response\", \"relation\": \"indirect\"}]",
        "ChallengeRefsRendered": "- **indirectly supports** (prompt, `THE-ORIGINAL-CHALLENGE.md` L4:1396+45): _produce experimentally falsifiable mechanisms_\n- **indirectly supports** (response, `THE-ORIGINAL-CHALLENGE.md` L66:191+37): _decomposes into inspectable structure_",
        "ChallengeNotes": "The harness is how the platform makes its claims *checkable rather than asserted*. It is the operational form of the V2 response's argument: not 'how much is modeled' but 'does adding the next thing keep the audit guarantee' - and it stays green and inspectable when it does.",
        "RefCount": 2,
        "AssignedLoop": "",
        "Name": "Witnessed red-&gt;green inference harness (home screen)",
        "RelativePath": "/admin/features/feat-witnessed-harness-home",
        "MetaLine": "**Category:** Witness / harness - **Priority:** Load-bearing - **Challenge refs:** 2"
      },
      {
        "FeatureId": "feat-knob-edit-ui",
        "Title": "Knob-editing admin UI",
        "Category": "Witness / harness",
        "Priority": "Load-bearing",
        "Description": "Every LLM-produced leaf value is an editable field; correcting it re-derives the DAG. Every formula is inspectable/correctable in place, like a spreadsheet cell, so a wrong input is nudged, not re-prompted.",
        "ChallengeRefs": "[{\"file\": \"THE-ORIGINAL-CHALLENGE.md\", \"line\": 4, \"col\": 1608, \"len\": 68, \"quote\": \"with calibrated uncertainty and no reliance on spurious correlations\", \"section\": \"prompt\", \"relation\": \"indirect\"}]",
        "ChallengeRefsRendered": "- **indirectly supports** (prompt, `THE-ORIGINAL-CHALLENGE.md` L4:1608+68): _with calibrated uncertainty and no reliance on spurious correlations_",
        "ChallengeNotes": "Makes the trust boundary *actionable* for a human reviewer: the model's judgment is externalized into editable bottom-row cells, and all reasoning lives in the open DAG above them.",
        "RefCount": 1,
        "AssignedLoop": "loop-2",
        "Name": "Knob-editing admin UI",
        "RelativePath": "/admin/features/feat-knob-edit-ui",
        "MetaLine": "**Category:** Witness / harness - **Priority:** Load-bearing - **Challenge refs:** 1"
      },
      {
        "FeatureId": "feat-gate-explainability",
        "Title": "Gate explainability",
        "Category": "Witness / harness",
        "Priority": "Load-bearing",
        "Description": "For a patient, show why each gate passed/failed by walking one level down (coverage, cross-ancestry replication count, permutation survival, cryptic-relatedness flag, etc.).",
        "ChallengeRefs": "[{\"file\": \"THE-ORIGINAL-CHALLENGE.md\", \"line\": 4, \"col\": 1545, \"len\": 62, \"quote\": \"from ancestries and environments absent from the training data\", \"section\": \"prompt\", \"relation\": \"direct\"}, {\"file\": \"THE-ORIGINAL-CHALLENGE.md\", \"line\": 4, \"col\": 1608, \"len\": 68, \"quote\": \"with calibrated uncertainty and no reliance on spurious correlations\", \"section\": \"prompt\", \"relation\": \"indirect\"}]",
        "ChallengeRefsRendered": "- **directly addresses** (prompt, `THE-ORIGINAL-CHALLENGE.md` L4:1545+62): _from ancestries and environments absent from the training data_\n- **indirectly supports** (prompt, `THE-ORIGINAL-CHALLENGE.md` L4:1608+68): _with calibrated uncertainty and no reliance on spurious correlations_",
        "ChallengeNotes": "Turns the keystone from a verdict into an explanation. Directly serves the prompt's *calibrated uncertainty* and ancestry-generalizability requirements by exposing the exact sub-evidence each gate rests on.",
        "RefCount": 2,
        "AssignedLoop": "loop-3",
        "Name": "Gate explainability",
        "RelativePath": "/admin/features/feat-gate-explainability",
        "MetaLine": "**Category:** Witness / harness - **Priority:** Load-bearing - **Challenge refs:** 2"
      },
      {
        "FeatureId": "feat-disease-state-machine",
        "Title": "Disease-state machine derived from raw labs",
        "Category": "Disease-state simulation",
        "Priority": "Load-bearing",
        "Description": "Disease progresses as a state machine: Presymptomatic -&gt; SerologicActive -&gt; EarlyNephritis -&gt; RenalFlareRisk -&gt; BiopsyIndicated. The current state is computed from rising anti-dsDNA + falling complement + proteinuria - never entered - and dwell time per state is tracked.",
        "ChallengeRefs": "[{\"file\": \"THE-ORIGINAL-CHALLENGE.md\", \"line\": 34, \"col\": 569, \"len\": 69, \"quote\": \"the difference between an evidence gate and a disease-state simulator\", \"section\": \"audit\", \"relation\": \"direct\"}, {\"file\": \"THE-ORIGINAL-CHALLENGE.md\", \"line\": 51, \"col\": 0, \"len\": 63, \"quote\": \"Disease now progresses as a state machine derived from raw labs\", \"section\": \"response\", \"relation\": \"direct\"}, {\"file\": \"THE-ORIGINAL-CHALLENGE.md\", \"line\": 4, \"col\": 1019, \"len\": 56, \"quote\": \"feedback between disease progression and molecular state\", \"section\": \"prompt\", \"relation\": \"indirect\"}]",
        "ChallengeRefsRendered": "- **directly addresses** (audit, `THE-ORIGINAL-CHALLENGE.md` L34:569+69): _the difference between an evidence gate and a disease-state simulator_\n- **directly addresses** (response, `THE-ORIGINAL-CHALLENGE.md` L51:0+63): _Disease now progresses as a state machine derived from raw labs_\n- **indirectly supports** (prompt, `THE-ORIGINAL-CHALLENGE.md` L4:1019+56): _feedback between disease progression and molecular state_",
        "ChallengeNotes": "Directly answers the doctor's central v1 critique: the difference between an evidence gate and a disease-state simulator. This is the 'is the disease progressing' layer, built additively onto the same trust boundary (labs are the clinician's input; state is the model's derivation).",
        "RefCount": 3,
        "AssignedLoop": "",
        "Name": "Disease-state machine derived from raw labs",
        "RelativePath": "/admin/features/feat-disease-state-machine",
        "MetaLine": "**Category:** Disease-state simulation - **Priority:** Load-bearing - **Challenge refs:** 3"
      },
      {
        "FeatureId": "feat-sledai-activity-score",
        "Title": "Derived SLEDAI disease-activity score",
        "Category": "Disease-state simulation",
        "Priority": "Load-bearing",
        "Description": "A SLEDAI activity score (and activity tier) computed per patient from the serology series (renal points, serology points, proteinuria), not a label anyone typed. Drives the worked nephritis example: rising anti-dsDNA, falling complement, renal-flare risk, biopsy-indicated.",
        "ChallengeRefs": "[{\"file\": \"THE-ORIGINAL-CHALLENGE.md\", \"line\": 34, \"col\": 275, \"len\": 62, \"quote\": \"This patient is transitioning from presymptomatic autoimmunity\", \"section\": \"audit\", \"relation\": \"direct\"}, {\"file\": \"THE-ORIGINAL-CHALLENGE.md\", \"line\": 32, \"col\": 518, \"len\": 67, \"quote\": \"the clinical workflow from referral, differential diagnosis, workup\", \"section\": \"audit\", \"relation\": \"indirect\"}]",
        "ChallengeRefsRendered": "- **directly addresses** (audit, `THE-ORIGINAL-CHALLENGE.md` L34:275+62): _This patient is transitioning from presymptomatic autoimmunity_\n- **indirectly supports** (audit, `THE-ORIGINAL-CHALLENGE.md` L32:518+67): _the clinical workflow from referral, differential diagnosis, workup_",
        "ChallengeNotes": "Concretely supplies the 'real disease activity scores' the doctor named as missing in v1, and produces the first computed worked example: a patient *transitioning toward early lupus nephritis*.",
        "RefCount": 2,
        "AssignedLoop": "",
        "Name": "Derived SLEDAI disease-activity score",
        "RelativePath": "/admin/features/feat-sledai-activity-score",
        "MetaLine": "**Category:** Disease-state simulation - **Priority:** Load-bearing - **Challenge refs:** 2"
      },
      {
        "FeatureId": "feat-treatment-line-recommendation",
        "Title": "Derived treatment-line recommendation with one stated reason",
        "Category": "Treatment reasoning",
        "Priority": "Load-bearing",
        "Description": "A recommended treatment line with a single stated reason, differentiated by the confirmed mechanism and the disease state: mycophenolate induction for active nephritis, anifrolumab for an IFN-pathway mechanism, belimumab for autoantibody-driven, secukinumab for IL-17/23.",
        "ChallengeRefs": "[{\"file\": \"THE-ORIGINAL-CHALLENGE.md\", \"line\": 6, \"col\": 348, \"len\": 60, \"quote\": \"therapies that target each person’s causal molecular pathway\", \"section\": \"payoff\", \"relation\": \"direct\"}, {\"file\": \"THE-ORIGINAL-CHALLENGE.md\", \"line\": 34, \"col\": 473, \"len\": 85, \"quote\": \"would likely respond differently to mycophenolate versus belimumab versus anifrolumab\", \"section\": \"audit\", \"relation\": \"direct\"}, {\"file\": \"THE-ORIGINAL-CHALLENGE.md\", \"line\": 55, \"col\": 37, \"len\": 67, \"quote\": \"A derived treatment-line recommendation with a single stated reason\", \"section\": \"response\", \"relation\": \"direct\"}]",
        "ChallengeRefsRendered": "- **directly addresses** (payoff, `THE-ORIGINAL-CHALLENGE.md` L6:348+60): _therapies that target each person's causal molecular pathway_\n- **directly addresses** (audit, `THE-ORIGINAL-CHALLENGE.md` L34:473+85): _would likely respond differently to mycophenolate versus belimumab versus anifrolumab_\n- **directly addresses** (response, `THE-ORIGINAL-CHALLENGE.md` L55:37+67): _A derived treatment-line recommendation with a single stated reason_",
        "ChallengeNotes": "The doctor's *second* worked example, computed. Implements 'therapies that target each person's causal molecular pathway' as a derived field grounded in a confirmed CausalMechanism node - a mechanism match, not a broad immunosuppression label.",
        "RefCount": 3,
        "AssignedLoop": "",
        "Name": "Derived treatment-line recommendation with one stated reason",
        "RelativePath": "/admin/features/feat-treatment-line-recommendation",
        "MetaLine": "**Category:** Treatment reasoning - **Priority:** Load-bearing - **Challenge refs:** 3"
      },
      {
        "FeatureId": "feat-treatment-response-mechanism-match",
        "Title": "Treatment-response prediction via mechanism match",
        "Category": "Treatment reasoning",
        "Priority": "Supporting",
        "Description": "A treatment-response prediction is trustworthy only when the treatment targets a confirmed causal mechanism (IsMechanismMatched) AND the treatment is effective. A drug aimed at a debunked mechanism, or one that didn't work / was adverse, is never 'predicted to respond'.",
        "ChallengeRefs": "[{\"file\": \"THE-ORIGINAL-CHALLENGE.md\", \"line\": 4, \"col\": 1446, \"len\": 83, \"quote\": \"accurately predict disease onset, severity, treatment response, and adverse effects\", \"section\": \"prompt\", \"relation\": \"direct\"}, {\"file\": \"THE-ORIGINAL-CHALLENGE.md\", \"line\": 6, \"col\": 633, \"len\": 29, \"quote\": \"reduce failed clinical trials\", \"section\": \"payoff\", \"relation\": \"indirect\"}]",
        "ChallengeRefsRendered": "- **directly addresses** (prompt, `THE-ORIGINAL-CHALLENGE.md` L4:1446+83): _accurately predict disease onset, severity, treatment response, and adverse effects_\n- **indirectly supports** (payoff, `THE-ORIGINAL-CHALLENGE.md` L6:633+29): _reduce failed clinical trials_",
        "ChallengeNotes": "One of the three prediction types the prompt asks for (onset / severity / treatment-response). Grounds treatment response in the same causal-mechanism DAG so it can never be a free-floating label.",
        "RefCount": 2,
        "AssignedLoop": "",
        "Name": "Treatment-response prediction via mechanism match",
        "RelativePath": "/admin/features/feat-treatment-response-mechanism-match",
        "MetaLine": "**Category:** Treatment reasoning - **Priority:** Supporting - **Challenge refs:** 2"
      },
      {
        "FeatureId": "feat-emergent-serology-cluster",
        "Title": "Emergent serology-signature cluster (corpus-level discovery)",
        "Category": "Corpus-level discovery",
        "Priority": "Load-bearing",
        "Description": "A per-patient IsInPreNephriticSignatureCluster rolled up from each person's raw serology series (rising anti-dsDNA + falling complement), no label assigned. On the synthetic cohort it lands cleanly - 6 of 12 in the cluster - and perfectly separates active/progressing from quiescent patients.",
        "ChallengeRefs": "[{\"file\": \"THE-ORIGINAL-CHALLENGE.md\", \"line\": 62, \"col\": 63, \"len\": 36, \"quote\": \"discovery is inherently corpus-level\", \"section\": \"response\", \"relation\": \"direct\"}, {\"file\": \"THE-ORIGINAL-CHALLENGE.md\", \"line\": 62, \"col\": 340, \"len\": 66, \"quote\": \"surfaces as a derived emergent cluster across the whole population\", \"section\": \"response\", \"relation\": \"direct\"}, {\"file\": \"THE-ORIGINAL-CHALLENGE.md\", \"line\": 4, \"col\": 351, \"len\": 79, \"quote\": \"identify the complete causal architecture of a heterogeneous autoimmune disease\", \"section\": \"prompt\", \"relation\": \"indirect\"}]",
        "ChallengeRefsRendered": "- **directly addresses** (response, `THE-ORIGINAL-CHALLENGE.md` L62:63+36): _discovery is inherently corpus-level_\n- **directly addresses** (response, `THE-ORIGINAL-CHALLENGE.md` L62:340+66): _surfaces as a derived emergent cluster across the whole population_\n- **indirectly supports** (prompt, `THE-ORIGINAL-CHALLENGE.md` L4:351+79): _identify the complete causal architecture of a heterogeneous autoimmune disease_",
        "ChallengeNotes": "Answers the doctor's deepest point: discovery is inherently corpus-level - a single chart never discovers a mechanism, a pattern across many patients does. This is the *shape* of discovery on synthetic data: membership emerges from the population's raw data and tracks the disease.",
        "RefCount": 3,
        "AssignedLoop": "",
        "Name": "Emergent serology-signature cluster (corpus-level discovery)",
        "RelativePath": "/admin/features/feat-emergent-serology-cluster",
        "MetaLine": "**Category:** Corpus-level discovery - **Priority:** Load-bearing - **Challenge refs:** 3"
      },
      {
        "FeatureId": "feat-evidence-disease-disagreement",
        "Title": "Evidence-gate &lt;-&gt; disease-state disagreement detector",
        "Category": "Corpus-level discovery",
        "Priority": "Load-bearing",
        "Description": "Flags the patient where the disease-state simulator and the actionability gate disagree: the disease is clearly progressing (biopsy-indicated, high activity) yet the prediction is correctly judged not clinically actionable (a relatedness-leakage problem).",
        "ChallengeRefs": "[{\"file\": \"THE-ORIGINAL-CHALLENGE.md\", \"line\": 57, \"col\": 95, \"len\": 63, \"quote\": \"the disease-state simulator and the actionability gate disagree\", \"section\": \"response\", \"relation\": \"direct\"}, {\"file\": \"THE-ORIGINAL-CHALLENGE.md\", \"line\": 34, \"col\": 569, \"len\": 69, \"quote\": \"the difference between an evidence gate and a disease-state simulator\", \"section\": \"audit\", \"relation\": \"direct\"}]",
        "ChallengeRefsRendered": "- **directly addresses** (response, `THE-ORIGINAL-CHALLENGE.md` L57:95+63): _the disease-state simulator and the actionability gate disagree_\n- **directly addresses** (audit, `THE-ORIGINAL-CHALLENGE.md` L34:569+69): _the difference between an evidence gate and a disease-state simulator_",
        "ChallengeNotes": "The single clearest proof that disease-state simulation is a *second, independent* layer and not the old evidence gate relabeled. A system that only gated evidence could never say 'needs attention now, but our mechanism prediction isn't trustworthy enough to pick a targeted therapy.'",
        "RefCount": 2,
        "AssignedLoop": "",
        "Name": "Evidence-gate &lt;-&gt; disease-state disagreement detector",
        "RelativePath": "/admin/features/feat-evidence-disease-disagreement",
        "MetaLine": "**Category:** Corpus-level discovery - **Priority:** Load-bearing - **Challenge refs:** 2"
      },
      {
        "FeatureId": "feat-cohort-discovery-board",
        "Title": "Cohort discovery board (corpus surface)",
        "Category": "Corpus-level discovery",
        "Priority": "Supporting",
        "Description": "Top nav item for every role: the disease-state map, the emergent serology-signature scatter (with the derived cluster drawn as a halo, not a painted colour), the disagreement board, and the treatment-line distribution - all reading derived fields.",
        "ChallengeRefs": "[{\"file\": \"THE-ORIGINAL-CHALLENGE.md\", \"line\": 6, \"col\": 312, \"len\": 30, \"quote\": \"precise patient stratification\", \"section\": \"payoff\", \"relation\": \"direct\"}, {\"file\": \"THE-ORIGINAL-CHALLENGE.md\", \"line\": 62, \"col\": 63, \"len\": 36, \"quote\": \"discovery is inherently corpus-level\", \"section\": \"response\", \"relation\": \"indirect\"}]",
        "ChallengeRefsRendered": "- **directly addresses** (payoff, `THE-ORIGINAL-CHALLENGE.md` L6:312+30): _precise patient stratification_\n- **indirectly supports** (response, `THE-ORIGINAL-CHALLENGE.md` L62:63+36): _discovery is inherently corpus-level_",
        "ChallengeNotes": "The corpus-level surface where discovery is *expressed*. Moves the platform from per-patient adjudication (v1) to a population view, which is where the prompt's 'causal architecture' lives.",
        "RefCount": 2,
        "AssignedLoop": "",
        "Name": "Cohort discovery board (corpus surface)",
        "RelativePath": "/admin/features/feat-cohort-discovery-board",
        "MetaLine": "**Category:** Corpus-level discovery - **Priority:** Supporting - **Challenge refs:** 2"
      },
      {
        "FeatureId": "feat-diagnosis-writeup",
        "Title": "Per-patient diagnosis writeup",
        "Category": "Reporting",
        "Priority": "Load-bearing",
        "Description": "Doctor-style Markdown writeup (-&gt; diagnosis.pdf once green) produced as an artifact of a passing run: 'The patient presented with... tests xyz confirmed abc... therefore C (actionable / not, and the single deciding reason).' It needs no UI to be valuable.",
        "ChallengeRefs": "[{\"file\": \"THE-ORIGINAL-CHALLENGE.md\", \"line\": 6, \"col\": 223, \"len\": 87, \"quote\": \"individualized prevention, presymptomatic diagnosis, ancestry-equitable risk prediction\", \"section\": \"payoff\", \"relation\": \"direct\"}]",
        "ChallengeRefsRendered": "- **directly addresses** (payoff, `THE-ORIGINAL-CHALLENGE.md` L6:223+87): _individualized prevention, presymptomatic diagnosis, ancestry-equitable risk prediction_",
        "ChallengeNotes": "The real output of the platform is a diagnosis, not a screen. This is the human-facing payoff that the prompt's 'presymptomatic diagnosis' and 'individualized' language ultimately asks for.",
        "RefCount": 1,
        "AssignedLoop": "",
        "Name": "Per-patient diagnosis writeup",
        "RelativePath": "/admin/features/feat-diagnosis-writeup",
        "MetaLine": "**Category:** Reporting - **Priority:** Load-bearing - **Challenge refs:** 1"
      },
      {
        "FeatureId": "feat-derived-report-fragments",
        "Title": "Derived narrative fragment fields",
        "Category": "Reporting",
        "Priority": "Supporting",
        "Description": "Per-row calculated text fields that turn each fact into structured natural language, predicate-gated and case-by-case (e.g. TemperatureNarrative -&gt; 'normal temperature' | 'light fever' | 'severe fever' from the row's own value). Each fragment is one spreadsheet-cell formula reading sibling fields and __meta__ phrases only - no joins or aggregations - composed upward into complex sentences.",
        "ChallengeRefs": "[{\"file\": \"THE-ORIGINAL-CHALLENGE.md\", \"line\": 66, \"col\": 191, \"len\": 37, \"quote\": \"decomposes into inspectable structure\", \"section\": \"response\", \"relation\": \"indirect\"}]",
        "ChallengeRefsRendered": "- **indirectly supports** (response, `THE-ORIGINAL-CHALLENGE.md` L66:191+37): _decomposes into inspectable structure_",
        "ChallengeNotes": "Keeps all narrative wording inside the auditable DAG: the writeup is assembled from inspectable calculated cells, never free-text generated at render time. Reporting stays on the trust boundary.",
        "RefCount": 1,
        "AssignedLoop": "",
        "Name": "Derived narrative fragment fields",
        "RelativePath": "/admin/features/feat-derived-report-fragments",
        "MetaLine": "**Category:** Reporting - **Priority:** Supporting - **Challenge refs:** 1"
      },
      {
        "FeatureId": "feat-report-meta-phrasebook",
        "Title": "Global phrasebook in __meta__",
        "Category": "Reporting",
        "Priority": "Supporting",
        "Description": "Reusable, contextual language atoms stored once in the __meta__ settings table - literal global phrases ('The patient presented with...') and shared banding vocabulary - referenced by fragment fields so common language is authored/corrected in one place, never re-implemented per case.",
        "ChallengeRefs": "[]",
        "ChallengeRefsRendered": "_No direct challenge clause - internal scaffolding._",
        "ChallengeNotes": "DRY for narrative: the one place global phrasing is corrected. Supports the writeup feature without duplicating wording across patients.",
        "RefCount": 0,
        "AssignedLoop": "",
        "Name": "Global phrasebook in __meta__",
        "RelativePath": "/admin/features/feat-report-meta-phrasebook",
        "MetaLine": "**Category:** Reporting - **Priority:** Supporting - **Challenge refs:** 0"
      },
      {
        "FeatureId": "feat-report-renderer",
        "Title": "Thin Python report renderer (replaces handlebars)",
        "Category": "Reporting",
        "Priority": "Supporting",
        "Description": "A small Python renderer whose only job is to read each patient's derived fragment fields from vw_* views and concatenate the non-empty, predicate-gated fragments in order into the diagnosis report (Markdown -&gt; diagnosis.pdf). All sentence wording lives in the rulebook as calculated fields; the renderer owns no business or narrative logic.",
        "ChallengeRefs": "[]",
        "ChallengeRefsRendered": "_No direct challenge clause - internal scaffolding._",
        "ChallengeNotes": "Enforces the rule that the renderer is dumb and the rulebook is the single source of narrative truth - the same discipline this PLATFORM_FEATURES.md generation itself follows.",
        "RefCount": 0,
        "AssignedLoop": "",
        "Name": "Thin Python report renderer (replaces handlebars)",
        "RelativePath": "/admin/features/feat-report-renderer",
        "MetaLine": "**Category:** Reporting - **Priority:** Supporting - **Challenge refs:** 0"
      },
      {
        "FeatureId": "feat-report-total-coverage-check",
        "Title": "Report total-coverage harness",
        "Category": "Reporting",
        "Priority": "Supporting",
        "Description": "Tests that every patient word and every linked DAG node down to ground truth is represented in that patient's report (see tfs-report-covers-every-word, tfs-report-covers-every-dag-node).",
        "ChallengeRefs": "[]",
        "ChallengeRefsRendered": "_No direct challenge clause - internal scaffolding._",
        "ChallengeNotes": "Closes the loop on the writeup: nothing in a patient's record is silently dropped from their report, and nothing in the report is unsourced. Total coverage is itself a witnessed test.",
        "RefCount": 0,
        "AssignedLoop": "",
        "Name": "Report total-coverage harness",
        "RelativePath": "/admin/features/feat-report-total-coverage-check",
        "MetaLine": "**Category:** Reporting - **Priority:** Supporting - **Challenge refs:** 0"
      },
      {
        "FeatureId": "feat-explainer-dag",
        "Title": "In-app Explainer DAG (clickable field provenance)",
        "Category": "Platform infrastructure",
        "Priority": "Supporting",
        "Description": "A generated, embedded visualization of the rulebook's calculated-field DAG: click any cell/field and see exactly how it was derived (raw inputs -&gt; lookups -&gt; calcs -&gt; aggregations), with RuleSpeak prose baked in at transpile time.",
        "ChallengeRefs": "[{\"file\": \"THE-ORIGINAL-CHALLENGE.md\", \"line\": 66, \"col\": 191, \"len\": 37, \"quote\": \"decomposes into inspectable structure\", \"section\": \"response\", \"relation\": \"indirect\"}]",
        "ChallengeRefsRendered": "- **indirectly supports** (response, `THE-ORIGINAL-CHALLENGE.md` L66:191+37): _decomposes into inspectable structure_",
        "ChallengeNotes": "Makes 'the trust boundary is a line in the graph' literally clickable. Any reviewer can trace a verdict back to the raw leaves it rests on - the in-app form of the audit guarantee.",
        "RefCount": 1,
        "AssignedLoop": "",
        "Name": "In-app Explainer DAG (clickable field provenance)",
        "RelativePath": "/admin/features/feat-explainer-dag",
        "MetaLine": "**Category:** Platform infrastructure - **Priority:** Supporting - **Challenge refs:** 1"
      },
      {
        "FeatureId": "feat-url-driven-routing",
        "Title": "URL-driven routing &amp; role navigation",
        "Category": "Platform infrastructure",
        "Priority": "Supporting",
        "Description": "The URL is the single source of truth for view state: every thing/list has a stable URL, F5 restores the exact view+tab, and links reach any piece. Role trees (admin / intake clinician / ...) gate what each role can create/read/update/delete, derived from the RoutingAndNavigation rows.",
        "ChallengeRefs": "[{\"file\": \"THE-ORIGINAL-CHALLENGE.md\", \"line\": 32, \"col\": 518, \"len\": 67, \"quote\": \"the clinical workflow from referral, differential diagnosis, workup\", \"section\": \"audit\", \"relation\": \"indirect\"}]",
        "ChallengeRefsRendered": "- **indirectly supports** (audit, `THE-ORIGINAL-CHALLENGE.md` L32:518+67): _the clinical workflow from referral, differential diagnosis, workup_",
        "ChallengeNotes": "Workflow scaffolding the doctor named as missing: referral -&gt; workup -&gt; monitoring needs addressable, role-scoped navigation. Permissions are derived from the rulebook, not hand-wired per screen.",
        "RefCount": 1,
        "AssignedLoop": "",
        "Name": "URL-driven routing &amp; role navigation",
        "RelativePath": "/admin/features/feat-url-driven-routing",
        "MetaLine": "**Category:** Platform infrastructure - **Priority:** Supporting - **Challenge refs:** 1"
      },
      {
        "FeatureId": "feat-reverse-sync-db-to-rulebook",
        "Title": "Reverse-sync DB -&gt; rulebook (input spoke)",
        "Category": "Platform infrastructure",
        "Priority": "Supporting",
        "Description": "vw_* raw + computed values are written back into the rulebook data[] (snapshot-to-rulebook), so edits made in the running app round-trip into the hub. A 'Save to rulebook' admin action and the init-db snapshot step keep the hub and the DB mirrored.",
        "ChallengeRefs": "[]",
        "ChallengeRefsRendered": "_No direct challenge clause - internal scaffolding._",
        "ChallengeNotes": "Makes the running app a peer input spoke to the rulebook hub, not a downstream dead end - the mechanism by which knob edits in the UI become durable rule-state.",
        "RefCount": 0,
        "AssignedLoop": "",
        "Name": "Reverse-sync DB -&gt; rulebook (input spoke)",
        "RelativePath": "/admin/features/feat-reverse-sync-db-to-rulebook",
        "MetaLine": "**Category:** Platform infrastructure - **Priority:** Supporting - **Challenge refs:** 0"
      },
      {
        "FeatureId": "feat-coverage-map-honesty",
        "Title": "Honest coverage map (modeled vs. vocabulary-only)",
        "Category": "Platform infrastructure",
        "Priority": "Load-bearing",
        "Description": "A clause-by-clause map against the original challenge plus an honest scorecard: each capability is marked DEEPLY MODELED, SCHEMA-MODELED, or VOCABULARY / OUT-OF-SCOPE (IsDeeplyModeled / IsSchemaModeled on DiseaseDomainConcepts). What is derived says so; what is only named says so too.",
        "ChallengeRefs": "[{\"file\": \"THE-ORIGINAL-CHALLENGE.md\", \"line\": 4, \"col\": 1085, \"len\": 78, \"quote\": \"infer counterfactual disease trajectories without randomized perturbation data\", \"section\": \"prompt\", \"relatio</t>
  </si>
  <si>
    <t xml:space="preserve">n\": \"indirect\"}, {\"file\": \"THE-ORIGINAL-CHALLENGE.md\", \"line\": 4, \"col\": 1325, \"len\": 37, \"quote\": \"privacy-preserving federated datasets\", \"section\": \"prompt\", \"relation\": \"indirect\"}, {\"file\": \"THE-ORIGINAL-CHALLENGE.md\", \"line\": 4, \"col\": 1254, \"len\": 69, \"quote\": \"batch effects, missing tissues, measurement error, ascertainment bias\", \"section\": \"prompt\", \"relation\": \"indirect\"}]",
        "ChallengeRefsRendered": "- **indirectly supports** (prompt, `THE-ORIGINAL-CHALLENGE.md` L4:1085+78): _infer counterfactual disease trajectories without randomized perturbation data_\n- **indirectly supports** (prompt, `THE-ORIGINAL-CHALLENGE.md` L4:1325+37): _privacy-preserving federated datasets_\n- **indirectly supports** (prompt, `THE-ORIGINAL-CHALLENGE.md` L4:1254+69): _batch effects, missing tissues, measurement error, ascertainment bias_",
        "ChallengeNotes": "The integrity feature. It directly confronts the prompt's own breadth - counterfactual trajectories, federated privacy, batch effects - by stating exactly which clauses are real derivations and which are vocabulary only. This is what keeps the platform 'a proof of shape, not a sales pitch.'",
        "RefCount": 3,
        "AssignedLoop": "",
        "Name": "Honest coverage map (modeled vs. vocabulary-only)",
        "RelativePath": "/admin/features/feat-coverage-map-honesty",
        "MetaLine": "**Category:** Platform infrastructure - **Priority:** Load-bearing - **Challenge refs:** 3"
      }
    ]
  },
  "InferenceKinds": {
    "Description": "Families of derivation the platform performs - the KINDS of inference in the DAG (lookups, aggregations, higher-order gates, state machines, transitive closure, predicate-gated narrative, cross-substrate conformance), independent of any one feature. Lets PLATFORM_FEATURES.md open with a short overview of the reasoning machinery before the per-feature catalog. Grounded in field types that actually exist in this rulebook; Maturity is Live unless an upstream step is still in flight.",
    "schema": [
      {
        "name": "InferenceKindId",
        "datatype": "string",
        "type": "raw",
        "nullable": false,
        "Description": "Stable identifier."
      },
      {
        "name": "Title",
        "datatype": "string",
        "type": "raw",
        "nullable": false,
        "Description": "Short name of the inference family."
      },
      {
        "name": "Description",
        "datatype": "string",
        "type": "raw",
        "nullable": false,
        "Description": "One-line factual description of the kind."
      },
      {
        "name": "ExampleField",
        "datatype": "string",
        "type": "raw",
        "nullable": false,
        "Description": "A concrete field in the model that realizes this kind."
      },
      {
        "name": "EvidenceCount",
        "datatype": "string",
        "type": "raw",
        "nullable": false,
        "Description": "How much of it exists (field counts / usage), for honest weight."
      },
      {
        "name": "Maturity",
        "datatype": "string",
        "type": "raw",
        "nullable": false,
        "Description": "Live | Partial (Partial = an upstream step is still in flight)."
      },
      {
        "name": "SortOrder",
        "datatype": "number",
        "type": "raw",
        "nullable": false,
        "Description": "Display order in the overview."
      },
      {
        "name": "Name",
        "datatype": "string",
        "type": "calculated",
        "nullable": true,
        "Description": "Display label.",
        "formula": "={{Title}}"
      },
      {
        "name": "RelativePath",
        "datatype": "string",
        "type": "calculated",
        "nullable": true,
        "Description": "Path to this entry: /admin/inference-kinds/&lt;id&gt;.",
        "formula": "=\"/admin/inference-kinds/\" &amp; {{InferenceKindId}}"
      }
    ],
    "data": [
      {
        "InferenceKindId": "ik-lookup-fk",
        "Title": "Lookup / FK resolution",
        "Description": "Pull a related row's value across a foreign key so a derived field can reason over it in place (no application-side JOIN). The relationship is declared once; the value resolves wherever it is needed.",
        "ExampleField": "Individuals.FederatedDatasetNodeLabel (resolves the dataset's label by FK)",
        "EvidenceCount": "35 lookup fields + 42 relationships; INDEX/MATCH used 49x",
        "Maturity": "Live",
        "SortOrder": 1,
        "Name": "Lookup / FK resolution",
        "RelativePath": "/admin/inference-kinds/ik-lookup-fk"
      },
      {
        "InferenceKindId": "ik-aggregation-rollup",
        "Title": "Aggregation rollups",
        "Description": "Collapse many child rows into one parent value - counts, maxima, sums, fractions. This is how per-row facts become corpus-level patterns: a population signature is a rollup over each person's raw series, with no label assigned.",
        "ExampleField": "Individuals.MaxProgressionStateOrder; the emergent IsInPreNephriticSignatureCluster rollup",
        "EvidenceCount": "33 aggregation fields; COUNTIFS/MAXIFS/SUMIFS used 33x",
        "Maturity": "Live",
        "SortOrder": 2,
        "Name": "Aggregation rollups",
        "RelativePath": "/admin/inference-kinds/ik-aggregation-rollup"
      },
      {
        "InferenceKindId": "ik-higher-order",
        "Title": "Higher-order inference (gates over gates)",
        "Description": "Calculated fields that take other calculated fields as inputs, stacked into a multi-level DAG. The keystone is the apex: a boolean computed over four gates, each themselves computed over lower derivations - inference about inferences, never a hand-entered answer.",
        "ExampleField": "IndividualPredictions.IsClinicallyActionable (AND of the four derived gates)",
        "EvidenceCount": "200 calculated fields; the keystone is an AND of four derived gates",
        "Maturity": "Live",
        "SortOrder": 3,
        "Name": "Higher-order inference (gates over gates)",
        "RelativePath": "/admin/inference-kinds/ik-higher-order"
      },
      {
        "InferenceKindId": "ik-state-machine",
        "Title": "State-machine derivation",
        "Description": "A subject's current state is derived from raw longitudinal inputs against a declared transition graph, not entered. Dwell time per state and the progression key fall out of the same derivation.",
        "ExampleField": "Individuals.NephritisProgressionStateKey (from rising anti-dsDNA + falling complement)",
        "EvidenceCount": "2 state machines, 13 states, 14 transition rules; current state is computed",
        "Maturity": "Live",
        "SortOrder": 4,
        "Name": "State-machine derivation",
        "RelativePath": "/admin/inference-kinds/ik-state-machine"
      },
      {
        "InferenceKindId": "ik-transitive-closure",
        "Title": "Transitive closure (reachability inference)",
        "Description": "Sparsely-asserted FromState-&gt;ToState edges imply the full reachability ordering, including never-asserted long-range pairs. The disease trajectory is inferred from the transition topology (e.g. intake -&gt; actionable at hop 5, is_inferred=true) rather than hand-typed as an integer ladder - the autoimmune analogue of a step-1 -&gt; step-5 ordering.",
        "ExampleField": "StateTransitionRules.ProgressionClosure (presymptomatic -&gt; biopsy-indicated, inferred)",
        "EvidenceCount": "1 closure field -&gt; vw_state_transition_rules_closure: 14 asserted edges, 18 inferred pairs (to hop 5)",
        "Maturity": "Live",
        "SortOrder": 5,
        "Name": "Transitive closure (reachability inference)",
        "RelativePath": "/admin/inference-kinds/ik-transitive-closure"
      },
      {
        "InferenceKindId": "ik-predicate-narrative",
        "Title": "Predicate-gated narrative",
        "Description": "Each raw fact is turned into a phrase by a per-row formula that selects wording from its own value and a shared __meta__ phrasebook (e.g. a temperature becomes 'normal' | 'light fever' | 'severe fever'). The diagnosis writeup is assembled from these inspectable cells - no free-text generated at render time.",
        "ExampleField": "Individuals.ActivityTier / TemperatureNarrative (banded from the row's own value)",
        "EvidenceCount": "IF used 166x; per-row narrative fragment fields band raw values into language",
        "Maturity": "Live",
        "SortOrder": 6,
        "Name": "Predicate-gated narrative",
        "RelativePath": "/admin/inference-kinds/ik-predicate-narrative"
      },
      {
        "InferenceKindId": "ik-cross-substrate-conformance",
        "Title": "Cross-substrate conformance",
        "Description": "The same declared model is projected to a second substrate (OWL) and an independent reasoner closes it on its own; agreement with the Postgres recursive view is the conformance receipt. rulebook-to-owl emits the transition relation as an owl:TransitiveProperty, owlrl deduces every reachable pair, and owl/reason.py diffs that set against vw_state_transition_rules_closure - they match exactly (32 reachability pairs, incl. the inferred long-range intake -&gt; actionable at hop 5). A recursive SQL view and an OWL-RL deductive closure compute the same reachability from one model: the reasoning is substrate-independent, not SQL-specific.",
        "ExampleField": "owl/reason.py: owlrl closure of `progression` (TransitiveProperty) == vw_state_transition_rules_closure",
        "EvidenceCount": "OWL-RL closure == Postgres closure: 14 asserted edges, 18 inferred pairs, 32 total - identical sets, verified by owl/reason.py",
        "Maturity": "Live",
        "SortOrder": 7,
        "Name": "Cross-substrate conformance",
        "RelativePath": "/admin/inference-kinds/ik-cross-substrate-conformance"
      }
    ]
  },
  "OpenQuestions": {
    "Description": "Decisions still pending, captured so they are not silently re-litigated in a later session.",
    "schema": [
      {
        "name": "OpenQuestionId",
        "datatype": "string",
        "type": "raw",
        "nullable": false,
        "Description": "Stable identifier."
      },
      {
        "name": "Question",
        "datatype": "string",
        "type": "raw",
        "nullable": false,
        "Description": "The open question."
      },
      {
        "name": "Context",
        "datatype": "string",
        "type": "raw",
        "nullable": false,
        "Description": "Why it is open / what it affects."
      },
      {
        "name": "Resolution",
        "datatype": "string",
        "type": "raw",
        "nullable": true,
        "Description": "The decision, once made."
      },
      {
        "name": "IsResolved",
        "datatype": "boolean",
        "type": "raw",
        "nullable": false,
        "Description": "TRUE when decided."
      },
      {
        "name": "Name",
        "datatype": "string",
        "type": "calculated",
        "nullable": true,
        "Description": "Display label.",
        "formula": "={{Question}}"
      },
      {
        "name": "RelativePath",
        "datatype": "string",
        "type": "calculated",
        "nullable": true,
        "Description": "Path to this OpenQuestions entry: /admin/open-questions/&lt;id&gt;.",
        "formula": "=\"/admin/open-questions/\" &amp; {{OpenQuestionId}}"
      }
    ],
    "data": [
      {
        "OpenQuestionId": "oq-publish-now",
        "Question": "Publish README now as a design/thesis doc, or hold until the harness goes green?",
        "Context": "Repo is at Loop 0.5 (harness red, no LLM intake yet). Receipts land harder green.",
        "Resolution": "",
        "IsResolved": false,
        "Name": "Publish README now as a design/thesis doc, or hold until the harness goes green?",
        "RelativePath": "/admin/open-questions/oq-publish-now"
      },
      {
        "OpenQuestionId": "oq-extract-vs-invent",
        "Question": "Does the LLM extract facts present in the case, or invent plausible facts for a described case?",
        "Context": "Mode #1 (extract) vs mode #2 (invent) changes how strong the claim is.",
        "Resolution": "Mode #1 at intake (extract/interpret), and synthetic-but-transparent test results for the invented case — every number visible, sourced, editable.",
        "IsResolved": true,
        "Name": "Does the LLM extract facts present in the case, or invent plausible facts for a described case?",
        "RelativePath": "/admin/open-questions/oq-extract-vs-invent"
      },
      {
        "OpenQuestionId": "oq-reworded-prompt",
        "Question": "Confirm the reworded README prompt shares no distinctive phrasing with the prospect's original.",
        "Context": "Anonymity / no verbatim leakage before publishing.",
        "Resolution": "",
        "IsResolved": false,
        "Name": "Confirm the reworded README prompt shares no distinctive phrasing with the prospect's original.",
        "RelativePath": "/admin/open-questions/oq-reworded-prompt"
      },
      {
        "OpenQuestionId": "oq-fragment-fields-where",
        "Question": "On which tables do the narrative fragment fields live, and how are per-case fragments composed up into one report — section order, headers, grouping?",
        "Context": "Decision is 'pure derived fields': sentence wording is per-row calculated fields (cell-simple, predicate-gated), reusable atoms in __meta__. Still open: do fragments hang off the patient/IndividualPredictions row and reference sibling facts, or off each evidence/gate row and roll up as text? And the renderer owns only ordering/concatenation — confirm it never composes wording. This is the next loop's design.",
        "Resolution": "",
        "IsResolved": false,
        "Name": "On which tables do the narrative fragment fields live, and how are per-case fragments composed up into one report — section order, headers, grouping?",
        "RelativePath": "/admin/open-questions/oq-fragment-fields-where"
      }
    ]
  },
  "NonGoals": {
    "Description": "Explicit out-of-scope statements — the positive twin of the anti-hallucination ledger. Stops scope creep.",
    "schema": [
      {
        "name": "NonGoalId",
        "datatype": "string",
        "type": "raw",
        "nullable": false,
        "Description": "Stable identifier."
      },
      {
        "name": "Statement",
        "datatype": "string",
        "type": "raw",
        "nullable": false,
        "Description": "What we are deliberately NOT doing."
      },
      {
        "name": "WhyExcluded",
        "datatype": "string",
        "type": "raw",
        "nullable": false,
        "Description": "Why it is off the keystone path / out of scope."
      },
      {
        "name": "Name",
        "datatype": "string",
        "type": "calculated",
        "nullable": true,
        "Description": "Display label.",
        "formula": "={{Statement}}"
      },
      {
        "name": "RelativePath",
        "datatype": "string",
        "type": "calculated",
        "nullable": true,
        "Description": "Path to this NonGoals entry: /admin/non-goals/&lt;id&gt;.",
        "formula": "=\"/admin/non-goals/\" &amp; {{NonGoalId}}"
      }
    ],
    "data": [
      {
        "NonGoalId": "ng-clinical-use",
        "Statement": "This is not validated clinical decision support and must never be used for clinical purposes.",
        "WhyExcluded": "Demonstration of inference structure only; all patients synthetic, all figures literature ranges.",
        "Name": "This is not validated clinical decision support and must never be used for clinical purposes.",
        "RelativePath": "/admin/non-goals/ng-clinical-use"
      },
      {
        "NonGoalId": "ng-crud-ui",
        "Statement": "This is not a CRUD UI.",
        "WhyExcluded": "The home screen is the witnessed red/green harness; the payoff is a derived diagnosis writeup.",
        "Name": "This is not a CRUD UI.",
        "RelativePath": "/admin/non-goals/ng-crud-ui"
      },
      {
        "NonGoalId": "ng-llm-reasoning",
        "Statement": "The LLM does not perform higher-order reasoning or render the diagnosis.",
        "WhyExcluded": "All reasoning lives in the open, editable DAG; the LLM is intake clerk + lab only.",
        "Name": "The LLM does not perform higher-order reasoning or render the diagnosis.",
        "RelativePath": "/admin/non-goals/ng-llm-reasoning"
      },
      {
        "NonGoalId": "ng-full-breadth",
        "Statement": "The full omics breadth (counterfactual trajectories, most modalities, epistasis, exposures) is not on the keystone's dependency path.",
        "WhyExcluded": "Kept as deliberate sparse context for breadth; pulled onto the path only when it earns its place (anti-hallucination rule).",
        "Name": "The full omics breadth (counterfactual trajectories, most modalities, epistasis, exposures) is not on the keystone's dependency path.",
        "RelativePath": "/admin/non-goals/ng-full-breadth"
      },
      {
        "NonGoalId": "ng-publish-verbatim",
        "Statement": "Never publish the prospect's verbatim problem text.",
        "WhyExcluded": "Anonymity / good manners; the public artifact uses a reworded generic grand-challenge prompt.",
        "Name": "Never publish the prospect's verbatim problem text.",
        "RelativePath": "/admin/non-goals/ng-publish-verbatim"
      }
    ]
  },
  "GlossaryTerms": {
    "Description": "Vocabulary coined in the gauntlet conversation, so the framing is shared and stable across sessions.",
    "schema": [
      {
        "name": "GlossaryTermId",
        "datatype": "string",
        "type": "raw",
        "nullable": false,
        "Description": "Stable identifier."
      },
      {
        "name": "Term",
        "datatype": "string",
        "type": "raw",
        "nullable": false,
        "Description": "The term."
      },
      {
        "name": "Definition",
        "datatype": "string",
        "type": "raw",
        "nullable": false,
        "Description": "What it means here."
      },
      {
        "name": "Name",
        "datatype": "string",
        "type": "calculated",
        "nullable": true,
        "Description": "Display label.",
        "formula": "={{Term}}"
      },
      {
        "name": "RelativePath",
        "datatype": "string",
        "type": "calculated",
        "nullable": true,
        "Description": "Path to this GlossaryTerms entry: /admin/glossary/&lt;id&gt;.",
        "formula": "=\"/admin/glossary/\" &amp; {{GlossaryTermId}}"
      }
    ],
    "data": [
      {
        "GlossaryTermId": "gt-knob",
        "Term": "knob",
        "Definition": "A literal, editable leaf value in the admin UI representing one choice the LLM (or a human) made; nudged, not re-prompted, when wrong.",
        "Name": "knob",
        "RelativePath": "/admin/glossary/gt-knob"
      },
      {
        "GlossaryTermId": "gt-intake-clerk-lab",
        "Term": "intake clerk + lab",
        "Definition": "The only two roles the LLM plays: interpret intake facts (clerk) and produce the case's test results (lab). Never the diagnostician.",
        "Name": "intake clerk + lab",
        "RelativePath": "/admin/glossary/gt-intake-clerk-lab"
      },
      {
        "GlossaryTermId": "gt-line-in-dag",
        "Term": "line in the DAG",
        "Definition": "The trust boundary, stated mechanically: fields with a formula belong to the model; raw-input leaf fields are the LLM's or a human's.",
        "Name": "line in the DAG",
        "RelativePath": "/admin/glossary/gt-line-in-dag"
      },
      {
        "GlossaryTermId": "gt-three-panel-witness",
        "Term": "three-panel witness",
        "Definition": "Input case text | extracted facts with per-fact provenance | deterministic diagnosis + gate trace — the two halves checkable independently.",
        "Name": "three-panel witness",
        "RelativePath": "/admin/glossary/gt-three-panel-witness"
      },
      {
        "GlossaryTermId": "gt-fake-but-transparent",
        "Term": "fake-but-transparent",
        "Definition": "Test results are synthetic (the case is invented) but every number is visible, sourced to the case, and editable; nothing is hidden.",
        "Name": "fake-but-transparent",
        "RelativePath": "/admin/glossary/gt-fake-but-transparent"
      },
      {
        "GlossaryTermId": "gt-laundering-objection",
        "Term": "laundering objection",
        "Definition": "The skeptic's claim that a deterministic function over LLM-chosen inputs just launders a hallucination; defeated by externalized knobs + independent witness.",
        "Name": "laundering objection",
        "RelativePath": "/admin/glossary/gt-laundering-objection"
      },
      {
        "GlossaryTermId": "gt-disease-state-simulator",
        "Term": "disease state simulator",
        "Definition": "The v2 layer the audit asked for: disease modeled as a WITNESSED state machine whose transitions fire only on raw longitudinal observations (rising anti-dsDNA, falling C3/C4, proteinuria). Current state and dwell-time are derived &amp; bitemporal — the contrast the audit drew with an 'evidence gate'.",
        "Name": "disease state simulator",
        "RelativePath": "/admin/glossary/gt-disease-state-simulator"
      },
      {
        "GlossaryTermId": "gt-evidence-gate",
        "Term": "evidence gate",
        "Definition": "The v1 layer: per-patient adjudication of whether a prediction is trustworthy enough to act on (the four gates + IsClinicallyActionable). v2 keeps this and adds the disease-state simulator above it on the same hub.",
        "Name": "evidence gate",
        "RelativePath": "/admin/glossary/gt-evidence-gate"
      },
      {
        "GlossaryTermId": "gt-disease-progression-machine",
        "Term": "disease progression machine",
        "Definition": "A state machine on the polymorphic StateMachines substrate whose subject is a patient's disease course (presymptomatic -&gt; serologic-active -&gt; early-nephritis -&gt; renal-flare-risk -&gt; biopsy-indicated). Transitions are raw-leaf-triggered; current state is the derived IsCurrent occupancy.",
        "Name": "disease progression machine",
        "RelativePath": "/admin/glossary/gt-disease-progression-machine"
      },
      {
        "GlossaryTermId": "gt-dwell-time",
        "Term": "dwell time",
        "Definition": "Bitemporal derivation: how long a subject has been in a disease state (now - EnteredAt while current; ExitedAt - EnteredAt once left). The audit asked for 'how long has the patient/disease been in a state' — this is that, as a formula.",
        "Name": "dwell time",
        "RelativePath": "/admin/glossary/gt-dwell-time"
      },
      {
        "GlossaryTermId": "gt-serology-trajectory",
        "Term": "serology trajectory",
        "Definition": "The raw longitudinal leaves driving progression: anti-dsDNA titre trend (rising/stable/falling), complement C3/C4 trend, proteinuria. The LLM/lab may emit these; everything above them is derived.",
        "Name": "serology trajectory",
        "RelativePath": "/admin/glossary/gt-serology-trajectory"
      },
      {
        "GlossaryTermId": "gt-treatment-line-recommendation",
        "Term": "treatment line recommendation",
        "Definition": "Derived field: given the patient's confirmed causal mechanism + current disease state, the recommended therapy (MMF vs belimumab vs anifrolumab) and the single deciding reason. The audit's second worked example.",
        "Name": "treatment line recommendation",
        "RelativePath": "/admin/glossary/gt-treatment-line-recommendation"
      },
      {
        "GlossaryTermId": "gt-corpus-discovery",
        "Term": "corpus discovery",
        "Definition": "The cohort-level surface where causal-hypothesis patterns EMERGE across many patients (vs v1's per-patient verdicts). Discovery is inherently corpus-level; this is the v2 reframe of the audit's 'you don't do discovery' critique.",
        "Name": "corpus discovery",
        "RelativePath": "/admin/glossary/gt-corpus-discovery"
      }
    ]
  },
  "EffortlessLoops": {
    "Description": "The ordered Effortless loops that build this platform, as data. The derived plan (EFFORTLESS_LOOPS.md, via json-hbars-transform) is generated from these rows; completed ([DONE]) loops are pruned at publish so only current/roadmap work shows in the plan.",
    "schema": [
      {
        "name": "EffortlessLoopId",
        "datatype": "string",
        "type": "raw",
        "nullable": false,
        "Description": "Stable identifier."
      },
      {
        "name": "LoopNumber",
        "datatype": "string",
        "type": "raw",
        "nullable": false,
        "Description": "Display number (0, 0.5, 1...)."
      },
      {
        "name": "Title",
        "datatype": "string",
        "type": "raw",
        "nullable": false,
        "Description": "Loop title."
      },
      {
        "name": "Goal",
        "datatype": "string",
        "type": "raw",
        "nullable": false,
        "Description": "The one coherent rule-change / outcome."
      },
      {
        "name": "Status",
        "datatype": "string",
        "type": "raw",
        "nullable": false,
        "Description": "done | next | planned | backlog (the raw input that drives Completedness)."
      },
      {
        "name": "RuleCommitMsg",
        "datatype": "string",
        "type": "raw",
        "nullable": true,
        "Description": "The rule commit message (or \"none — app-only loop\")."
      },
      {
        "name": "StateCommitMsg",
        "datatype": "string",
        "type": "raw",
        "nullable": true,
        "Description": "The state commit message."
      },
      {
        "name": "SortOrder",
        "datatype": "number",
        "type": "raw",
        "nullable": false,
        "Description": "Ordering within the plan."
      },
      {
        "name": "Name",
        "datatype": "string",
        "type": "calculated",
        "nullable": true,
        "Description": "Display label.",
        "formula": "=CONCATENATE(\"Loop \", {{LoopNumber}}, \" — \", {{Title}})"
      },
      {
        "name": "RelativePath",
        "datatype": "string",
        "type": "calculated",
        "nullable": true,
        "Description": "Path to this EffortlessLoops entry: /admin/effortless-loops/&lt;id&gt;.",
        "formula": "=\"/admin/effortless-loops/\" &amp; {{EffortlessLoopId}}"
      },
      {
        "name": "Completedness",
        "datatype": "string",
        "type": "calculated",
        "nullable": true,
        "Description": "Normalized status used by the derived plan to decide placement.",
        "formula": "={{Status}}"
      },
      {
        "name": "IsInCurrentPlan",
        "datatype": "boolean",
        "type": "calculated",
        "nullable": true,
        "Description": "TRUE for the current \"next\" loop and anything still planned/backlog (not done).",
        "formula": "=IF({{Status}} = \"done\", FALSE, TRUE)"
      },
      {
        "name": "StatusBadge",
        "datatype": "string",
        "type": "raw",
        "nullable": true,
        "Description": "Display badge for the derived plan, e.g. [DONE] / [NEXT] / [PLANNED] / [BACKLOG]."
      },
      {
        "name": "StatusLine",
        "datatype": "string",
        "type": "raw",
        "nullable": true,
        "Description": "Extra plan line: commit messages for done/next loops; empty otherwise."
      }
    ],
    "data": [
      {
        "EffortlessLoopId": "loop-0",
        "LoopNumber": "0",
        "Title": "Solve-by-inference rulebook",
        "Goal": "Convert 7 hand-entered answers to derived; add evidence/replication/control/calibration tables; wire raw observations to keystone.",
        "Status": "done",
        "RuleCommitMsg": "rule: keystone IsClinicallyActionable now derived from observations",
        "StateCommitMsg": "state: Loop 0 - Postgres solve-by-inference verified",
        "SortOrder": 0,
        "StatusBadge": "[DONE]",
        "StatusLine": " - rule `rule: keystone IsClinicallyActionable now derived from observations`; state `state: Loop 0 - Postgres solve-by-inference verified`",
        "Name": "Loop 0 — Solve-by-inference rulebook",
        "RelativePath": "/admin/effortless-loops/loop-0",
        "Completedness": "done",
        "IsInCurrentPlan": false
      },
      {
        "EffortlessLoopId": "loop-0-5",
        "LoopNumber": "0.5",
        "Title": "Test Harness First (the red contract)",
        "Goal": "Ship a witnessed inference harness asserting the entire DAG x 7 patients via the app API; red on arrival, load-bearing.",
        "Status": "done",
        "RuleCommitMsg": "none - app-only loop, test-harness-first, no rule change",
        "StateCommitMsg": "state: Loop 0.5 - red witnessed-inference harness is the app's contract",
        "SortOrder": 1,
        "StatusBadge": "[DONE]",
        "StatusLine": " - rule `none - app-only loop, test-harness-first, no rule change`; state `state: Loop 0.5 - red witnessed-inference harness is the app's contract`",
        "Name": "Loop 0.5 — Test Harness First (the red contract)",
        "RelativePath": "/admin/effortless-loops/loop-0-5",
        "Completedness": "done",
        "IsInCurrentPlan": false
      },
      {
        "EffortlessLoopId": "loop-1",
        "LoopNumber": "1",
        "Title": "Intake app skeleton",
        "Goal": "Turn keystone-level red tests green: wire cohort + prediction-panel endpoints reading vw_*.",
        "Status": "done",
        "RuleCommitMsg": "none - app-only loop, no rule change",
        "StateCommitMsg": "state: Loop 1 - read-only intake app surfaces the keystone",
        "SortOrder": 2,
        "StatusBadge": "[DONE]",
        "StatusLine": " - rule `none - app-only loop, no rule change`; state `state: Loop 1 - read-only intake app surfaces the keystone`",
        "Name": "Loop 1 — Intake app skeleton",
        "RelativePath": "/admin/effortless-loops/loop-1",
        "Completedness": "done",
        "IsInCurrentPlan": false
      },
      {
        "EffortlessLoopId": "loop-2",
        "LoopNumber": "2",
        "Title": "Patient intake (facts in)",
        "Goal": "Form writes a new Individual + child observation rows to base tables, then re-reads the derived panel. The knob-editing payoff.",
        "Status": "done",
        "RuleCommitMsg": "rule (if any) for new intake field",
        "StateCommitMsg": "state: Loop 2 - facts-in to derived diagnosis works end to end",
        "SortOrder": 3,
        "StatusBadge": "[DONE]",
        "StatusLine": " - rule `rule (if any) for new intake field`; state `state: Loop 2 - facts-in to derived diagnosis works end to end`",
        "Name": "Loop 2 — Patient intake (facts in)",
        "RelativePath": "/admin/effortless-loops/loop-2",
        "Completedness": "done",
        "IsInCurrentPlan": false
      },
      {
        "EffortlessLoopId": "loop-3",
        "LoopNumber": "3",
        "Title": "3-panel witness — provenance back into the case text",
        "Goal": "Show why each gate passed/failed one level down; consider installing the explainer-DAG transpiler.",
        "Status": "done",
        "RuleCommitMsg": "rule: install explainer-dag",
        "StateCommitMsg": "state: Loop 3 - gate explainability",
        "SortOrder": 4,
        "StatusBadge": "[DONE]",
        "StatusLine": " - rule `rule: install explainer-dag`; state `state: Loop 3 - gate explainability`",
        "Name": "Loop 3 — 3-panel witness — provenance back into the case text",
        "RelativePath": "/admin/effortless-loops/loop-3",
        "Completedness": "done",
        "IsInCurrentPlan": false
      },
      {
        "EffortlessLoopId": "loop-4",
        "LoopNumber": "4",
        "Title": "Second prediction type (severity)",
        "Goal": "Add a derived severity prediction grounded in ClinicalPhenotypes.SeverityScore; pull one context table onto the load-bearing path.",
        "Status": "done",
        "RuleCommitMsg": "rule: derive a severity prediction (IsSeverityActionable) chained to the onset gates",
        "StateCommitMsg": "state: Loop 4 - severity prediction (second prediction type) green",
        "SortOrder": 5,
        "StatusBadge": "[DONE]",
        "StatusLine": " - rule `rule: derive a severity prediction (IsSeverityActionable) chained to the onset gates`; state `state: Loop 4 - severity prediction (second prediction type) green`",
        "Name": "Loop 4 — Second prediction type (severity)",
        "RelativePath": "/admin/effortless-loops/loop-4",
        "Completedness": "done",
        "IsInCurrentPlan": false
      },
      {
        "EffortlessLoopId": "loo</t>
  </si>
  <si>
    <t xml:space="preserve">p-5",
        "LoopNumber": "5",
        "Title": "Treatment-response prediction",
        "Goal": "Derive a treatment-response prediction from Treatments + mechanism match; surface in the panel.",
        "Status": "done",
        "RuleCommitMsg": "rule: derive a treatment-response prediction (IsTreatmentResponseActionable) via mechanism match",
        "StateCommitMsg": "state: Loop 5 - treatment-response prediction (third prediction type) green",
        "SortOrder": 6,
        "StatusBadge": "[DONE]",
        "StatusLine": " - rule `rule: derive a treatment-response prediction (IsTreatmentResponseActionable) via mechanism match`; state `state: Loop 5 - treatment-response prediction (third prediction type) green`",
        "Name": "Loop 5 — Treatment-response prediction",
        "RelativePath": "/admin/effortless-loops/loop-5",
        "Completedness": "done",
        "IsInCurrentPlan": false
      },
      {
        "EffortlessLoopId": "loop-vocab-completeness",
        "LoopNumber": "6",
        "Title": "Vocabulary completeness - every audit-named concept enters the hub",
        "Goal": "Answer the audit's breadth: bring every concept the physician named (lupus nephritis, NPSLE, cutaneous lupus, sero+/-RA, erosive disease, axial PsA, enthesitis, dactylitis, uveitis, IBD overlap, organ damage, flare patterns, treatment lines, SLEDAI/DAS28) into the hub as DiseaseDomainConcepts, each with an honest ModelingStatus (deep-DAG / schema / vocabulary). Coverage becomes checkable by grep, not by trust.",
        "Status": "done",
        "RuleCommitMsg": "rule: DiseaseDomainConcepts - every audit-named concept in the hub with honest ModelingStatus",
        "StateCommitMsg": "state: v2 step1 - vocabulary completeness; coverage checkable by grep",
        "SortOrder": 7,
        "StatusBadge": "[DONE]",
        "StatusLine": " - rule `rule: DiseaseDomainConcepts - every audit-named concept in the hub with honest ModelingStatus`; state `state: v2 step1 - vocabulary completeness; coverage checkable by grep`",
        "Name": "Loop 6 — Vocabulary completeness - every audit-named concept enters the hub",
        "RelativePath": "/admin/effortless-loops/loop-vocab-completeness",
        "Completedness": "done",
        "IsInCurrentPlan": false
      },
      {
        "EffortlessLoopId": "loop-disease-state",
        "LoopNumber": "7",
        "Title": "Disease-state simulator - the layer the audit said did not exist",
        "Goal": "Reframe: v1 was a per-patient evidence gate; v2 adds the disease-state layer. A disease progressing is a state machine (lupus-nephritis-progression: Presymptomatic then SerologicActive then EarlyNephritis then RenalFlareRisk then BiopsyIndicated) whose CURRENT state is DERIVED purely from raw serology leaves (rising anti-dsDNA + falling complement + proteinuria + sediment) - never hand-set. Bitemporal DwellDays answers the audit's 'how long in this state.' Same trust boundary: labs are the LLM's/clinician's, the state is the model's. Diego Santos's first worked example computes (derived SledaiScore 12, High/flare).",
        "Status": "done",
        "RuleCommitMsg": "rule: lupus-nephritis-progression state machine - disease state DERIVED from raw serology",
        "StateCommitMsg": "state: v2 step3 - disease-state simulator; harness green, counter-example witnessed",
        "SortOrder": 8,
        "StatusBadge": "[DONE]",
        "StatusLine": " - rule `rule: lupus-nephritis-progression state machine - disease state DERIVED from raw serology`; state `state: v2 step3 - disease-state simulator; harness green, counter-example witnessed`",
        "Name": "Loop 7 — Disease-state simulator - the layer the audit said did not exist",
        "RelativePath": "/admin/effortless-loops/loop-disease-state",
        "Completedness": "done",
        "IsInCurrentPlan": false
      },
      {
        "EffortlessLoopId": "loop-treatment-line",
        "LoopNumber": "8",
        "Title": "Treatment-line recommendation + the disagreement counter-example",
        "Goal": "The audit's second worked example, computed: a derived RecommendedTreatmentLine + single TreatmentLineDecidingFactor (mycophenolate for active nephritis, anifrolumab for type-I-IFN, belimumab for autoantibody-driven, secukinumab for IL-17/23) - differentiated by confirmed mechanism x disease state, never by a label. The load-bearing proof: Diego is progression_vs_actionability_disagree = TRUE - the disease-state simulator says he IS progressing (BiopsyIndicated, high activity) while the actionability gate says NOT actionable (cryptic-relatedness leakage). A pure evidence gate could never produce that sentence; that it can is the proof v2 != v1 relabeled.",
        "Status": "done",
        "RuleCommitMsg": "rule: RecommendedTreatmentLine + progression_vs_actionability_disagree counter-example",
        "StateCommitMsg": "state: v2 - treatment-line + disagreement; the two layers proven independent",
        "SortOrder": 9,
        "StatusBadge": "[DONE]",
        "StatusLine": " - rule `rule: RecommendedTreatmentLine + progression_vs_actionability_disagree counter-example`; state `state: v2 - treatment-line + disagreement; the two layers proven independent`",
        "Name": "Loop 8 — Treatment-line recommendation + the disagreement counter-example",
        "RelativePath": "/admin/effortless-loops/loop-treatment-line",
        "Completedness": "done",
        "IsInCurrentPlan": false
      },
      {
        "EffortlessLoopId": "loop-cohort-discovery",
        "LoopNumber": "9",
        "Title": "Cohort discovery board - the corpus-level surface",
        "Goal": "The doctor's deepest point: discovery is corpus-level - a single chart never discovers a mechanism, a pattern across many patients does. Build the top-level, all-roles Cohort discovery board over a 12-member claim-bearing cohort: the disease-state map, the emergent serology-signature scatter, the disease-vs-evidence disagreement board, and the treatment-line distribution - all reading derived fields. Per-patient progression + treatment-line tabs hang off the same model. The punchline, sorted to the top of the nav.",
        "Status": "done",
        "RuleCommitMsg": "rule: 12-member cohort expansion; corpus-level derived fields for the discovery board",
        "StateCommitMsg": "state: v2 steps9-10 - Cohort discovery is the top-level all-roles nav item",
        "SortOrder": 10,
        "StatusBadge": "[DONE]",
        "StatusLine": " - rule `rule: 12-member cohort expansion; corpus-level derived fields for the discovery board`; state `state: v2 steps9-10 - Cohort discovery is the top-level all-roles nav item`",
        "Name": "Loop 9 — Cohort discovery board - the corpus-level surface",
        "RelativePath": "/admin/effortless-loops/loop-cohort-discovery",
        "Completedness": "done",
        "IsInCurrentPlan": false
      },
      {
        "EffortlessLoopId": "loop-progression-admin",
        "LoopNumber": "10",
        "Title": "Progression machine in the state-machine admin",
        "Goal": "The one concrete unbuilt admin-witness item. StateMachineView is hardcoded to diagnosis-lifecycle; lupus-nephritis-progression already lives in vw_state_machines and is served by the same router. Make StateMachineView select the machine (a binding change, not a model change): render its states, the 5 raw-leaf-triggered transition rules, and a per-state cohort-occupancy strip. Closes the loop between the disease-state simulator and its admin witness.",
        "Status": "done",
        "RuleCommitMsg": "none - app-only loop; occupancy already derived (IsCurrent), admin-witness binding only",
        "StateCommitMsg": "state: Loop 10 - progression machine bound into the state-machine admin; per-state cohort occupancy is the simulator's admin witness",
        "SortOrder": 11,
        "StatusBadge": "[DONE]",
        "StatusLine": " - rule `none - app-only loop; occupancy already derived (IsCurrent), admin-witness binding only`; state `state: Loop 10 - progression machine bound into the state-machine admin; per-state cohort occupancy is the simulator's admin witness`",
        "Name": "Loop 10 — Progression machine in the state-machine admin",
        "RelativePath": "/admin/effortless-loops/loop-progression-admin",
        "Completedness": "done",
        "IsInCurrentPlan": false
      },
      {
        "EffortlessLoopId": "loop-serology-discovery",
        "LoopNumber": "11",
        "Title": "Serology-signature discovery - emergent cluster, not a label",
        "Goal": "Make the discovery claim falsifiable at corpus scale. The serology signature that PRECEDES nephritis (the rising-anti-dsDNA / falling-complement trajectory) should surface as a DERIVED corpus-level cluster on the cohort scatter - emergent from the population's raw serology series, not a label anyone assigned. Derive the cluster membership / signature-strength field in the hub so the discovery is reproducible and witnessed, then surface it on the cohort board. This is the literal answer to 'discovery is corpus-level.'",
        "Status": "done",
        "RuleCommitMsg": "rule: derive emergent pre-nephritic serology-signature cluster (IsPreNephriticSignaturePanel -&gt; CountPreNephriticSignaturePanels -&gt; IsInPreNephriticSignatureCluster + SignatureStrength)",
        "StateCommitMsg": "state: Loop 11 - emergent serology-signature cluster; 6/12 in cluster, perfectly separating active/progressing from quiescent; surfaced as derived halo on the cohort scatter",
        "SortOrder": 12,
        "StatusBadge": "[DONE]",
        "StatusLine": " - rule `rule: derive emergent pre-nephritic serology-signature cluster (IsPreNephriticSignaturePanel -&gt; CountPreNephriticSignaturePanels -&gt; IsInPreNephriticSignatureCluster + SignatureStrength)`; state `state: Loop 11 - emergent serology-signature cluster; 6/12 in cluster, perfectly separating active/progressing from quiescent; surfaced as derived halo on the cohort scatter`",
        "Name": "Loop 11 — Serology-signature discovery - emergent cluster, not a label",
        "RelativePath": "/admin/effortless-loops/loop-serology-discovery",
        "Completedness": "done",
        "IsInCurrentPlan": false
      },
      {
        "EffortlessLoopId": "loop-prune-nonloadbearing",
        "LoopNumber": "12",
        "Title": "Prune excess engineering - keep only what is load-bearing for the v1 audit response",
        "Goal": "A deliberate trimming pass (NOT a delete spree). Walk the model, the app, and the docs and find anything that was UPGRADED or SUPERSEDED and now lingers as a duplicate, plus any engineering that is not actually load-bearing toward the clearest pedagogical answer to the v1 audit. Candidates to scrutinise: superseded prediction types that don't earn their keep (e.g. a 4th parallel adverse-effect prediction once severity + treatment-response + treatment-line exist), redundant ontology slots that no longer carry a claim, and any view/endpoint with no consumer. Promotion rule inverted: if a thing is neither traceable to problem-to-solve.md nor load-bearing toward the keystone or the audit response, retire it. Goal: the clearest, most complete, DUPLICATE-FREE representation of the problem - so the audit response is concise as well as complete.",
        "Status": "done",
        "RuleCommitMsg": "none - verification loop, no rule change; inventory found nothing load-bearing to retire",
        "StateCommitMsg": "state: Loop 12 - verified lean. Every endpoint is consumed (client or witnessed harness); no 4th adverse-effect prediction exists; the 3 zero-ref context tables (CounterfactualTrajectories/EnvironmentalExposures/TherapyOptions) are each named in problem-to-solve.md so they stay as honest schema coverage; no duplicate ontology slots or dead calc fields. The inverted promotion rule held: nothing is neither-traceable-nor-load-bearing.",
        "SortOrder": 13,
        "StatusBadge": "[DONE]",
        "StatusLine": " - rule `none - verification loop, no rule change; inventory found nothing load-bearing to retire`; state `state: Loop 12 - verified lean. Every endpoint is consumed (client or witnessed harness); no 4th adverse-effect prediction exists; the 3 zero-ref context tables are each named in problem-to-solve.md so they stay as honest schema coverage; no duplicate ontology slots or dead calc fields.`",
        "Name": "Loop 12 — Prune excess engineering - keep only what is load-bearing for the v1 audit response",
        "RelativePath": "/admin/effortless-loops/loop-prune-nonloadbearing",
        "Completedness": "done",
        "IsInCurrentPlan": false
      },
      {
        "EffortlessLoopId": "loop-llm-intake",
        "LoopNumber": "13",
        "Title": "LLM intake clerk + synthetic lab",
        "Goal": "FUTURE ROADMAP (not part of the v1-audit response - this is the framework-thesis deliverable, the next conversation). The trust-boundary payoff: wire the LLM to read a natural-language case and write ONLY leaf observations - intake facts + synthetic-but-transparent test results - with the three-panel witness (case text / extracted facts with per-fact provenance / derived diagnosis + gate trace). The LLM never computes a higher-order inference; every value it emits is an editable knob. Demotes the model to a replaceable, fully-overridable transcriber - the structural defeat of 'a hallucination laundered through a deterministic function.'",
        "Status": "roadmap",
        "RuleCommitMsg": "rule (if any) for provenance fields",
        "StateCommitMsg": "state: LLM intake clerk, everything-is-a-knob",
        "SortOrder": 14,
        "StatusBadge": "[ROADMAP]",
        "StatusLine": "",
        "Name": "Loop 13 — LLM intake clerk + synthetic lab",
        "RelativePath": "/admin/effortless-loops/loop-llm-intake",
        "Completedness": "roadmap",
        "IsInCurrentPlan": true
      },
      {
        "EffortlessLoopId": "loop-equity",
        "LoopNumber": "14",
        "Title": "Cohort-level equity report",
        "Goal": "FUTURE ROADMAP (traceable to the original challenge's equity requirement, but not part of the v1-audit response). Ancestry-equity made structural and corpus-level: calibration and actionability rates by ancestry (gates 2 and 4 of the keystone) as a derived dashboard, complementing the cohort discovery board. Equity is a checkable rate, not a promise.",
        "Status": "roadmap",
        "RuleCommitMsg": "",
        "StateCommitMsg": "",
        "SortOrder": 15,
        "StatusBadge": "[ROADMAP]",
        "StatusLine": "",
        "Name": "Loop 14 — Cohort-level equity report",
        "RelativePath": "/admin/effortless-loops/loop-equity",
        "Completedness": "roadmap",
        "IsInCurrentPlan": true
      }
    ]
  },
  "RoutingAndNavigation": {
    "Description": "Role-based navigation: open-ended parent-&gt;child-&gt;leaf routes with computed paths. Each route has a template (/intake/case/:caseId); entities carry RelativePath that substitutes their own id/slug. Roles: admin, intake-clinician, diagnosing-doctor, external-llm.",
    "schema": [
      {
        "name": "RoutingAndNavigationId",
        "datatype": "string",
        "type": "raw",
        "nullable": false,
        "Description": "Slug PK for this nav node, e.g. nav-intake-case."
      },
      {
        "name": "Name",
        "datatype": "string",
        "type": "calculated",
        "nullable": true,
        "Description": "Slug of the display name.",
        "formula": "=SUBSTITUTE(LOWER({{DisplayName}}), \" \", \"-\")"
      },
      {
        "name": "DisplayName",
        "datatype": "string",
        "type": "raw",
        "nullable": true,
        "Description": "Human-readable nav label."
      },
      {
        "name": "Route",
        "datatype": "string",
        "type": "raw",
        "nullable": true,
        "Description": "URL template, role/workflow-prefixed with :params, e.g. /intake/case/:caseId."
      },
      {
        "name": "Description",
        "datatype": "string",
        "type": "raw",
        "nullable": true,
        "Description": "What this route shows."
      },
      {
        "name": "SortOrder",
        "datatype": "number",
        "type": "raw",
        "nullable": true,
        "Description": "Display order within its nav level."
      },
      {
        "name": "ParentRouteKey",
        "datatype": "string",
        "type": "raw",
        "nullable": true,
        "Description": "RouteKey of the parent nav node (empty for top-level). Self-referential recursion."
      },
      {
        "name": "RouteKey",
        "datatype": "string",
        "type": "raw",
        "nullable": true,
        "Description": "Stable dot-delimited slug, e.g. diagnosis.case.mechanism."
      },
      {
        "name": "NavLevel",
        "datatype": "string",
        "type": "raw",
        "nullable": true,
        "Description": "Hierarchy level: top / sub / leaf."
      },
      {
        "name": "RoleVisibility",
        "datatype": "string",
        "type": "raw",
        "nullable": true,
        "Description": "CSV of roles that can see this nav item: admin,intake-clinician,diagnosing-doctor,external-llm."
      },
      {
        "name": "PrimaryTable",
        "datatype": "string",
        "type": "raw",
        "nullable": true,
        "Description": "Backing table name."
      },
      {
        "name": "PrimaryView",
        "datatype": "string",
        "type": "raw",
        "nullable": true,
        "Description": "Backing vw_* view."
      },
      {
        "name": "IconHint",
        "datatype": "string",
        "type": "raw",
        "nullable": true,
        "Description": "Optional icon name for the UI."
      },
      {
        "name": "IsDynamic",
        "datatype": "boolean",
        "type": "raw",
        "nullable": true,
        "Description": "True if the route template contains :params."
      },
      {
        "name": "PinToTop",
        "datatype": "boolean",
        "type": "raw",
        "nullable": true,
        "Description": "Pin to the top of its nav level, before SortOrder."
      },
      {
        "name": "AdminCRUD",
        "datatype": "string",
        "type": "raw",
        "nullable": true,
        "Description": "Admin CRUD grant for this route (contains C/R/U/D). Empty = no access."
      },
      {
        "name": "IntakeClinicianCRUD",
        "datatype": "string",
        "type": "raw",
        "nullable": true,
        "Description": "IntakeClinician CRUD grant for this route (contains C/R/U/D). Empty = no access."
      },
      {
        "name": "DiagnosingDoctorCRUD",
        "datatype": "string",
        "type": "raw",
        "nullable": true,
        "Description": "DiagnosingDoctor CRUD grant for this route (contains C/R/U/D). Empty = no access."
      },
      {
        "name": "ExternalLlmCRUD",
        "datatype": "string",
        "type": "raw",
        "nullable": true,
        "Description": "ExternalLlm CRUD grant for this route (contains C/R/U/D). Empty = no access."
      },
      {
        "name": "AdminCanCreate",
        "datatype": "boolean",
        "type": "calculated",
        "nullable": true,
        "Description": "Derived: AdminCRUD contains 'C'.",
        "formula": "=IF({{AdminCRUD}}=BLANK(),BLANK(),NOT(ISERROR(FIND(\"C\",{{AdminCRUD}}))))"
      },
      {
        "name": "AdminCanRead",
        "datatype": "boolean",
        "type": "calculated",
        "nullable": true,
        "Description": "Derived: AdminCRUD contains 'R'.",
        "formula": "=IF({{AdminCRUD}}=BLANK(),BLANK(),NOT(ISERROR(FIND(\"R\",{{AdminCRUD}}))))"
      },
      {
        "name": "AdminCanUpdate",
        "datatype": "boolean",
        "type": "calculated",
        "nullable": true,
        "Description": "Derived: AdminCRUD contains 'U'.",
        "formula": "=IF({{AdminCRUD}}=BLANK(),BLANK(),NOT(ISERROR(FIND(\"U\",{{AdminCRUD}}))))"
      },
      {
        "name": "AdminCanDelete",
        "datatype": "boolean",
        "type": "calculated",
        "nullable": true,
        "Description": "Derived: AdminCRUD contains 'D'.",
        "formula": "=IF({{AdminCRUD}}=BLANK(),BLANK(),NOT(ISERROR(FIND(\"D\",{{AdminCRUD}}))))"
      },
      {
        "name": "IntakeClinicianCanCreate",
        "datatype": "boolean",
        "type": "calculated",
        "nullable": true,
        "Description": "Derived: IntakeClinicianCRUD contains 'C'.",
        "formula": "=IF({{IntakeClinicianCRUD}}=BLANK(),BLANK(),NOT(ISERROR(FIND(\"C\",{{IntakeClinicianCRUD}}))))"
      },
      {
        "name": "IntakeClinicianCanRead",
        "datatype": "boolean",
        "type": "calculated",
        "nullable": true,
        "Description": "Derived: IntakeClinicianCRUD contains 'R'.",
        "formula": "=IF({{IntakeClinicianCRUD}}=BLANK(),BLANK(),NOT(ISERROR(FIND(\"R\",{{IntakeClinicianCRUD}}))))"
      },
      {
        "name": "IntakeClinicianCanUpdate",
        "datatype": "boolean",
        "type": "calculated",
        "nullable": true,
        "Description": "Derived: IntakeClinicianCRUD contains 'U'.",
        "formula": "=IF({{IntakeClinicianCRUD}}=BLANK(),BLANK(),NOT(ISERROR(FIND(\"U\",{{IntakeClinicianCRUD}}))))"
      },
      {
        "name": "IntakeClinicianCanDelete",
        "datatype": "boolean",
        "type": "calculated",
        "nullable": true,
        "Description": "Derived: IntakeClinicianCRUD contains 'D'.",
        "formula": "=IF({{IntakeClinicianCRUD}}=BLANK(),BLANK(),NOT(ISERROR(FIND(\"D\",{{IntakeClinicianCRUD}}))))"
      },
      {
        "name": "DiagnosingDoctorCanCreate",
        "datatype": "boolean",
        "type": "calculated",
        "nullable": true,
        "Description": "Derived: DiagnosingDoctorCRUD contains 'C'.",
        "formula": "=IF({{DiagnosingDoctorCRUD}}=BLANK(),BLANK(),NOT(ISERROR(FIND(\"C\",{{DiagnosingDoctorCRUD}}))))"
      },
      {
        "name": "DiagnosingDoctorCanRead",
        "datatype": "boolean",
        "type": "calculated",
        "nullable": true,
        "Description": "Derived: DiagnosingDoctorCRUD contains 'R'.",
        "formula": "=IF({{DiagnosingDoctorCRUD}}=BLANK(),BLANK(),NOT(ISERROR(FIND(\"R\",{{DiagnosingDoctorCRUD}}))))"
      },
      {
        "name": "DiagnosingDoctorCanUpdate",
        "datatype": "boolean",
        "type": "calculated",
        "nullable": true,
        "Description": "Derived: DiagnosingDoctorCRUD contains 'U'.",
        "formula": "=IF({{DiagnosingDoctorCRUD}}=BLANK(),BLANK(),NOT(ISERROR(FIND(\"U\",{{DiagnosingDoctorCRUD}}))))"
      },
      {
        "name": "DiagnosingDoctorCanDelete",
        "datatype": "boolean",
        "type": "calculated",
        "nullable": true,
        "Description": "Derived: DiagnosingDoctorCRUD contains 'D'.",
        "formula": "=IF({{DiagnosingDoctorCRUD}}=BLANK(),BLANK(),NOT(ISERROR(FIND(\"D\",{{DiagnosingDoctorCRUD}}))))"
      },
      {
        "name": "ExternalLlmCanCreate",
        "datatype": "boolean",
        "type": "calculated",
        "nullable": true,
        "Description": "Derived: ExternalLlmCRUD contains 'C'.",
        "formula": "=IF({{ExternalLlmCRUD}}=BLANK(),BLANK(),NOT(ISERROR(FIND(\"C\",{{ExternalLlmCRUD}}))))"
      },
      {
        "name": "ExternalLlmCanRead",
        "datatype": "boolean",
        "type": "calculated",
        "nullable": true,
        "Description": "Derived: ExternalLlmCRUD contains 'R'.",
        "formula": "=IF({{ExternalLlmCRUD}}=BLANK(),BLANK(),NOT(ISERROR(FIND(\"R\",{{ExternalLlmCRUD}}))))"
      },
      {
        "name": "ExternalLlmCanUpdate",
        "datatype": "boolean",
        "type": "calculated",
        "nullable": true,
        "Description": "Derived: ExternalLlmCRUD contains 'U'.",
        "formula": "=IF({{ExternalLlmCRUD}}=BLANK(),BLANK(),NOT(ISERROR(FIND(\"U\",{{ExternalLlmCRUD}}))))"
      },
      {
        "name": "ExternalLlmCanDelete",
        "datatype": "boolean",
        "type": "calculated",
        "nullable": true,
        "Description": "Derived: ExternalLlmCRUD contains 'D'.",
        "formula": "=IF({{ExternalLlmCRUD}}=BLANK(),BLANK(),NOT(ISERROR(FIND(\"D\",{{ExternalLlmCRUD}}))))"
      },
      {
        "name": "Depth",
        "datatype": "integer",
        "type": "calculated",
        "nullable": true,
        "Description": "Nesting depth: 0 = top-level; otherwise number of dot-segments in RouteKey.",
        "formula": "=IF({{ParentRouteKey}}=BLANK(), 0, LEN({{RouteKey}}) - LEN(SUBSTITUTE({{RouteKey}}, \".\", \"\")))"
      },
      {
        "name": "FullPath",
        "datatype": "string",
        "type": "calculated",
        "nullable": true,
        "Description": "Canonical role-agnostic URL path (equals Route).",
        "formula": "={{Route}}"
      },
      {
        "name": "HandlerBaseName",
        "datatype": "string",
        "type": "calculated",
        "nullable": true,
        "Description": "Space-delimited form of RouteKey; client PascalCases + prefixes role to derive a handler component.",
        "formula": "=SUBSTITUTE(SUBSTITUTE({{RouteKey}}, \".\", \" \"), \"-\", \" \")"
      },
      {
        "name": "RelativePath",
        "datatype": "string",
        "type": "calculated",
        "nullable": true,
        "Description": "Path to this routing node's own admin page.",
        "formula": "=\"/admin/routing/\" &amp; {{RoutingAndNavigationId}}"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"RoutingAndNavigationId": "nav-intake",
        "DisplayName": "Intake",
        "Route": "/intake",
        "Description": "Clinician intake workspace — bring a new patient case in.",
        "SortOrder": 10,
        "ParentRouteKey": "",
        "RouteKey": "intake",
        "NavLevel": "top",
        "RoleVisibility": "admin,intake-clinician",
        "IsDynamic": false,
        "PinToTop": true,
        "AdminCRUD": "CRUD",
        "IntakeClinicianCRUD": "CRU",
        "DiagnosingDoctorCRUD": "",
        "ExternalLlmCRUD": "",
        "CreatedBy": "build-seed",
        "ModifiedBy": "build-seed",
        "PrimaryTable": "Individuals",
        "PrimaryView": "vw_individuals",
        "IconHint": "clipboard-plus",
        "Name": "intake",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0,
        "FullPath": "/intake",
        "HandlerBaseName": "intake",
        "RelativePath": "/admin/routing/nav-intake",
        "CreatedAt": null,
        "ModifiedAt": null,
        "ModifiedByModel": null
      },
      {
        "RoutingAndNavigationId": "nav-intake-new",
        "DisplayName": "New Patient",
        "Route": "/intake/new-patient/:caseId",
        "Description": "Open or start a case by slug, e.g. /intake/new-patient/reyes-ana.",
        "SortOrder": 11,
        "ParentRouteKey": "intake",
        "RouteKey": "intake.new-patient",
        "NavLevel": "sub",
        "RoleVisibility": "admin,intake-clinician",
        "IsDynamic": true,
        "PinToTop": false,
        "AdminCRUD": "CRUD",
        "IntakeClinicianCRUD": "CRU",
        "DiagnosingDoctorCRUD": "",
        "ExternalLlmCRUD": "",
        "CreatedBy": "build-seed",
        "ModifiedBy": "build-seed",
        "PrimaryTable": "Individuals",
        "PrimaryView": "vw_individuals",
        "IconHint": "user-plus",
        "Name": "new-patient",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1,
        "FullPath": "/intake/new-patient/:caseId",
        "HandlerBaseName": "intake new patient",
        "RelativePath": "/admin/routing/nav-intake-new",
        "CreatedAt": null,
        "ModifiedAt": null,
        "ModifiedByModel": null
      },
      {
        "RoutingAndNavigationId": "nav-intake-observations",
        "DisplayName": "Observations",
        "Route": "/intake/new-patient/:caseId/observations",
        "Description": "Raw presenting facts: ancestry, age, federated node, cryptic-relatedness flag.",
        "SortOrder": 12,
        "ParentRouteKey": "intake.new-patient",
        "RouteKey": "intake.new-patient.observations",
        "NavLevel": "leaf",
        "RoleVisibility": "admin,intake-clinician",
        "IsDynamic": true,
        "PinToTop": false,
        "AdminCRUD": "CRUD",
        "IntakeClinicianCRUD": "CRU",
        "DiagnosingDoctorCRUD": "",
        "ExternalLlmCRUD": "",
        "CreatedBy": "build-seed",
        "ModifiedBy": "build-seed",
        "PrimaryTable": "Individuals",
        "PrimaryView": "vw_individuals",
        "IconHint": "stethoscope",
        "Name": "observations",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"/intake/new-patient/:caseId/observations",
        "HandlerBaseName": "intake new patient observations",
        "RelativePath": "/admin/routing/nav-intake-observations",
        "CreatedAt": null,
        "ModifiedAt": null,
        "ModifiedByModel": null
      },
      {
        "RoutingAndNavigationId": "nav-intake-variants",
        "DisplayName": "Variants",
        "Route": "/intake/new-patient/:caseId/variants",
        "Description": "Genomic variant calls: allele frequency, allele-specific expression.",
        "SortOrder": 13,
        "ParentRouteKey": "intake.new-patient",
        "RouteKey": "intake.new-patient.variants",
        "NavLevel": "leaf",
        "RoleVisibility": "admin,intake-clinician",
        "IsDynamic": true,
        "PinToTop": false,
        "AdminCRUD": "CRUD",
        "IntakeClinicianCRUD": "CRU",
        "DiagnosingDoctorCRUD": "",
        "ExternalLlmCRUD": "",
        "CreatedBy": "build-seed",
        "ModifiedBy": "build-seed",
        "PrimaryTable": "GenomicVariants",
        "PrimaryView": "vw_genomic_variants",
        "IconHint": "dna",
        "Name": "variants",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t>
  </si>
  <si>
    <t xml:space="preserve"> null,
        "DiagnosingDoctorCanDelete": null,
        "ExternalLlmCanCreate": null,
        "ExternalLlmCanRead": null,
        "ExternalLlmCanUpdate": null,
        "ExternalLlmCanDelete": null,
        "Depth": 2,
        "FullPath": "/intake/new-patient/:caseId/variants",
        "HandlerBaseName": "intake new patient variants",
        "RelativePath": "/admin/routing/nav-intake-variants",
        "CreatedAt": null,
        "ModifiedAt": null,
        "ModifiedByModel": null
      },
      {
        "RoutingAndNavigationId": "nav-intake-assays",
        "DisplayName": "Assays",
        "Route": "/intake/new-patient/:caseId/assays",
        "Description": "Omics assays per modality/tissue: measurement error, cell-state effects.",
        "SortOrder": 14,
        "ParentRouteKey": "intake.new-patient",
        "RouteKey": "intake.new-patient.assays",
        "NavLevel": "leaf",
        "RoleVisibility": "admin,intake-clinician",
        "IsDynamic": true,
        "PinToTop": false,
        "AdminCRUD": "CRUD",
        "IntakeClinicianCRUD": "CRU",
        "DiagnosingDoctorCRUD": "",
        "ExternalLlmCRUD": "",
        "CreatedBy": "build-seed",
        "ModifiedBy": "build-seed",
        "PrimaryTable": "OmicsAssays",
        "PrimaryView": "vw_omics_assays",
        "IconHint": "flask-conical",
        "Name": "assays",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"/intake/new-patient/:caseId/assays",
        "HandlerBaseName": "intake new patient assays",
        "RelativePath": "/admin/routing/nav-intake-assays",
        "CreatedAt": null,
        "ModifiedAt": null,
        "ModifiedByModel": null
      },
      {
        "RoutingAndNavigationId": "nav-intake-submit",
        "DisplayName": "Submit Case",
        "Route": "/intake/new-patient/:caseId/submit",
        "Description": "Hand the assembled raw facts to the deterministic inference graph.",
        "SortOrder": 15,
        "ParentRouteKey": "intake.new-patient",
        "RouteKey": "intake.new-patient.submit",
        "NavLevel": "leaf",
        "RoleVisibility": "admin,intake-clinician",
        "IsDynamic": true,
        "PinToTop": false,
        "AdminCRUD": "CRUD",
        "IntakeClinicianCRUD": "RU",
        "DiagnosingDoctorCRUD": "",
        "ExternalLlmCRUD": "",
        "CreatedBy": "build-seed",
        "ModifiedBy": "build-seed",
        "IconHint": "send",
        "Name": "submit-case",
        "PrimaryTable": null,
        "PrimaryView": null,
        "AdminCanCreate": true,
        "AdminCanRead": true,
        "AdminCanUpdate": true,
        "AdminCanDelete": true,
        "IntakeClinicianCanCreate": false,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"/intake/new-patient/:caseId/submit",
        "HandlerBaseName": "intake new patient submit",
        "RelativePath": "/admin/routing/nav-intake-submit",
        "CreatedAt": null,
        "ModifiedAt": null,
        "ModifiedByModel": null
      },
      {
        "RoutingAndNavigationId": "nav-diagnosis",
        "DisplayName": "Diagnosis",
        "Route": "/diagnosis",
        "Description": "Diagnosing doctor workspace — walk a case to its keystone.",
        "SortOrder": 20,
        "ParentRouteKey": "",
        "RouteKey": "diagnosis",
        "NavLevel": "top",
        "RoleVisibility": "admin,diagnosing-doctor",
        "IsDynamic": false,
        "PinToTop": true,
        "AdminCRUD": "CRUD",
        "IntakeClinicianCRUD": "",
        "DiagnosingDoctorCRUD": "R",
        "ExternalLlmCRUD": "",
        "CreatedBy": "build-seed",
        "ModifiedBy": "build-seed",
        "PrimaryTable": "IndividualPredictions",
        "PrimaryView": "vw_individual_predictions",
        "IconHint": "brain-circuit",
        "Name": "diagnosis",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0,
        "FullPath": "/diagnosis",
        "HandlerBaseName": "diagnosis",
        "RelativePath": "/admin/routing/nav-diagnosis",
        "CreatedAt": null,
        "ModifiedAt": null,
        "ModifiedByModel": null
      },
      {
        "RoutingAndNavigationId": "nav-diagnosis-case",
        "DisplayName": "Case",
        "Route": "/diagnosis/case/:predictionId",
        "Description": "One case's diagnostic walk, anchored on its lifecycle state.",
        "SortOrder": 2,
        "ParentRouteKey": "",
        "RouteKey": "diagnosis.case",
        "NavLevel": "top",
        "RoleVisibility": "admin,diagnosing-doctor",
        "IsDynamic": true,
        "PinToTop": false,
        "AdminCRUD": "CRUD",
        "IntakeClinicianCRUD": "",
        "DiagnosingDoctorCRUD": "R",
        "ExternalLlmCRUD": "",
        "CreatedBy": "build-seed",
        "ModifiedBy": "build-seed",
        "PrimaryTable": "IndividualPredictions",
        "PrimaryView": "vw_individual_predictions",
        "IconHint": "folder-open",
        "Name": "case",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0,
        "FullPath": "/diagnosis/case/:predictionId",
        "HandlerBaseName": "diagnosis case",
        "RelativePath": "/admin/routing/nav-diagnosis-case",
        "CreatedAt": null,
        "ModifiedAt": null,
        "ModifiedByModel": null
      },
      {
        "RoutingAndNavigationId": "nav-diagnosis-evidence",
        "DisplayName": "Evidence",
        "Route": "/diagnosis/case/:predictionId/evidence",
        "Description": "L1 evidence atoms: effect size / SE / ZStat, confound controls.",
        "SortOrder": 22,
        "ParentRouteKey": "diagnosis.case",
        "RouteKey": "diagnosis.case.evidence",
        "NavLevel": "leaf",
        "RoleVisibility": "admin,diagnosing-doctor",
        "IsDynamic": true,
        "PinToTop": false,
        "AdminCRUD": "CRUD",
        "IntakeClinicianCRUD": "",
        "DiagnosingDoctorCRUD": "R",
        "ExternalLlmCRUD": "",
        "CreatedBy": "build-seed",
        "ModifiedBy": "build-seed",
        "PrimaryTable": "EvidenceItems",
        "PrimaryView": "vw_evidence_items",
        "IconHint": "microscope",
        "Name": "evidence",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"/diagnosis/case/:predictionId/evidence",
        "HandlerBaseName": "diagnosis case evidence",
        "RelativePath": "/admin/routing/nav-diagnosis-evidence",
        "CreatedAt": null,
        "ModifiedAt": null,
        "ModifiedByModel": null
      },
      {
        "RoutingAndNavigationId": "nav-diagnosis-mechanism",
        "DisplayName": "Mechanism",
        "Route": "/diagnosis/case/:predictionId/mechanism",
        "Description": "L2/L3 mechanism aggregations + IsCausalArchitectureNode verdict.",
        "SortOrder": 23,
        "ParentRouteKey": "diagnosis.case",
        "RouteKey": "diagnosis.case.mechanism",
        "NavLevel": "leaf",
        "RoleVisibility": "admin,diagnosing-doctor",
        "IsDynamic": true,
        "PinToTop": false,
        "AdminCRUD": "CRUD",
        "IntakeClinicianCRUD": "",
        "DiagnosingDoctorCRUD": "R",
        "ExternalLlmCRUD": "",
        "CreatedBy": "build-seed",
        "ModifiedBy": "build-seed",
        "PrimaryTable": "CausalMechanisms",
        "PrimaryView": "vw_causal_mechanisms",
        "IconHint": "git-branch",
        "Name": "mechanism",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"/diagnosis/case/:predictionId/mechanism",
        "HandlerBaseName": "diagnosis case mechanism",
        "RelativePath": "/admin/routing/nav-diagnosis-mechanism",
        "CreatedAt": null,
        "ModifiedAt": null,
        "ModifiedByModel": null
      },
      {
        "RoutingAndNavigationId": "nav-diagnosis-replication",
        "DisplayName": "Replication",
        "Route": "/diagnosis/case/:predictionId/replication",
        "Description": "Cross-cohort / cross-ancestry replication — the transport atoms.",
        "SortOrder": 24,
        "ParentRouteKey": "diagnosis.case",
        "RouteKey": "diagnosis.case.replication",
        "NavLevel": "leaf",
        "RoleVisibility": "admin,diagnosing-doctor",
        "IsDynamic": true,
        "PinToTop": false,
        "AdminCRUD": "CRUD",
        "IntakeClinicianCRUD": "",
        "DiagnosingDoctorCRUD": "R",
        "ExternalLlmCRUD": "",
        "CreatedBy": "build-seed",
        "ModifiedBy": "build-seed",
        "PrimaryTable": "CohortReplications",
        "PrimaryView": "vw_cohort_replications",
        "IconHint": "copy-check",
        "Name": "replication",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"/diagnosis/case/:predictionId/replication",
        "HandlerBaseName": "diagnosis case replication",
        "RelativePath": "/admin/routing/nav-diagnosis-replication",
        "CreatedAt": null,
        "ModifiedAt": null,
        "ModifiedByModel": null
      },
      {
        "RoutingAndNavigationId": "nav-diagnosis-controls",
        "DisplayName": "Neg Controls",
        "Route": "/diagnosis/case/:predictionId/controls",
        "Description": "Permutation / stratification controls — the anti-spurious atoms.",
        "SortOrder": 25,
        "ParentRouteKey": "diagnosis.case",
        "RouteKey": "diagnosis.case.controls",
        "NavLevel": "leaf",
        "RoleVisibility": "admin,diagnosing-doctor",
        "IsDynamic": true,
        "PinToTop": false,
        "AdminCRUD": "CRUD",
        "IntakeClinicianCRUD": "",
        "DiagnosingDoctorCRUD": "R",
        "ExternalLlmCRUD": "",
        "CreatedBy": "build-seed",
        "ModifiedBy": "build-seed",
        "PrimaryTable": "NegativeControlTests",
        "PrimaryView": "vw_negative_control_tests",
        "IconHint": "shield",
        "Name": "neg-controls",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"/diagnosis/case/:predictionId/controls",
        "HandlerBaseName": "diagnosis case controls",
        "RelativePath": "/admin/routing/nav-diagnosis-controls",
        "CreatedAt": null,
        "ModifiedAt": null,
        "ModifiedByModel": null
      },
      {
        "RoutingAndNavigationId": "nav-diagnosis-calibration",
        "DisplayName": "Calibration",
        "Route": "/diagnosis/case/:predictionId/calibration",
        "Description": "Per-bin reliability coverage — the calibration atoms.",
        "SortOrder": 26,
        "ParentRouteKey": "diagnosis.case",
        "RouteKey": "diagnosis.case.calibration",
        "NavLevel": "leaf",
        "RoleVisibility": "admin,diagnosing-doctor",
        "IsDynamic": true,
        "PinToTop": false,
        "AdminCRUD": "CRUD",
        "IntakeClinicianCRUD": "",
        "DiagnosingDoctorCRUD": "R",
        "ExternalLlmCRUD": "",
        "CreatedBy": "build-seed",
        "ModifiedBy": "build-seed",
        "PrimaryTable": "CalibrationBins",
        "PrimaryView": "vw_calibration_bins",
        "IconHint": "gauge",
        "Name": "calibration",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"/diagnosis/case/:predictionId/calibration",
        "HandlerBaseName": "diagnosis case calibration",
        "RelativePath": "/admin/routing/nav-diagnosis-calibration",
        "CreatedAt": null,
        "ModifiedAt": null,
        "ModifiedByModel": null
      },
      {
        "RoutingAndNavigationId": "nav-diagnosis-gates",
        "DisplayName": "Gates",
        "Route": "/diagnosis/case/:predictionId/gates",
        "Description": "The four gates: confidence, falsifiability, transport, predicted value.",
        "SortOrder": 27,
        "ParentRouteKey": "diagnosis.case",
        "RouteKey": "diagnosis.case.gates",
        "NavLevel": "leaf",
        "RoleVisibility": "admin,diagnosing-doctor",
        "IsDynamic": true,
        "PinToTop": false,
        "AdminCRUD": "CRUD",
        "IntakeClinicianCRUD": "",
        "DiagnosingDoctorCRUD": "R",
        "ExternalLlmCRUD": "",
        "CreatedBy": "build-seed",
        "ModifiedBy": "build-seed",
        "PrimaryTable": "IndividualPredictions",
        "PrimaryView": "vw_individual_predictions",
        "IconHint": "door-open",
        "Name": "gates",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"/diagnosis/case/:predictionId/gates",
        "HandlerBaseName": "diagnosis case gates",
        "RelativePath": "/admin/routing/nav-diagnosis-gates",
        "CreatedAt": null,
        "ModifiedAt": null,
        "ModifiedByModel": null
      },
      {
        "RoutingAndNavigationId": "nav-diagnosis-keystone",
        "DisplayName": "Keystone",
        "Route": "/diagnosis/case/:predictionId/keystone",
        "Description": "IsClinicallyActionable — the derived conclusion.",
        "SortOrder": 28,
        "ParentRouteKey": "diagnosis.case",
        "RouteKey": "diagnosis.case.keystone",
        "NavLevel": "leaf",
        "RoleVisibility": "admin,diagnosing-doctor",
        "IsDynamic": true,
        "PinToTop": false,
        "AdminCRUD": "CRUD",
        "IntakeClinicianCRUD": "",
        "DiagnosingDoctorCRUD": "R",
        "ExternalLlmCRUD": "",
        "CreatedBy": "build-seed",
        "ModifiedBy": "build-seed",
        "PrimaryTable": "IndividualPredictions",
        "PrimaryView": "vw_individual_predictions",
        "IconHint": "key-round",
        "Name": "keystone",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"/diagnosis/case/:predictionId/keystone",
        "HandlerBaseName": "diagnosis case keystone",
        "RelativePath": "/admin/routing/nav-diagnosis-keystone",
        "CreatedAt": null,
        "ModifiedAt": null,
        "ModifiedByModel": null
      },
      {
        "RoutingAndNavigationId": "nav-diagnosis-report",
        "DisplayName": "Report",
        "Route": "/diagnosis/case/:predictionId/report",
        "Description": "The derived, total-coverage diagnosis report: every patient word and every linked DAG node rendered as predicate-gated structured natural language, assembled from this case's narrative fragment fields. Markdown now -&gt; diagnosis.pdf once green.",
        "SortOrder": 29,
        "ParentRouteKey": "diagnosis.case",
        "RouteKey": "diagnosis.case.report",
        "NavLevel": "leaf",
        "RoleVisibility": "admin,diagnosing-doctor",
        "IsDynamic": true,
        "PinToTop": false,
        "AdminCRUD": "R",
        "IntakeClinicianCRUD": "",
        "DiagnosingDoctorCRUD": "R",
        "ExternalLlmCRUD": "",
        "CreatedBy": "build-seed",
        "ModifiedBy": "build-seed",
        "PrimaryTable": "IndividualPredictions",
        "PrimaryView": "vw_individual_predictions",
        "IconHint": "file-text",
        "Name": "report",
        "AdminCanCreate": false,
        "AdminCanRead": true,
        "AdminCanUpdate": false,
        "AdminCanDelete": false,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"/diagnosis/case/:predictionId/report",
        "HandlerBaseName": "diagnosis case report",
        "RelativePath": "/admin/routing/nav-diagnosis-report",
        "CreatedAt": null,
        "ModifiedAt": null,
        "ModifiedByModel": null
      },
      {
        "RoutingAndNavigationId": "nav-admin",
        "DisplayName": "Admin",
        "Route": "/admin",
        "Description": "Model &amp; platform administration.",
        "SortOrder": 90,
        "ParentRouteKey": "",
        "RouteKey": "admin",
        "NavLevel": "top",
        "RoleVisibility": "admin",
        "IsDynamic": false,
        "PinToTop": true,
        "AdminCRUD": "CRUD",
        "IntakeClinicianCRUD": "",
        "DiagnosingDoctorCRUD": "",
        "ExternalLlmCRUD": "",
        "CreatedBy": "build-seed",
        "ModifiedBy": "build-seed",
        "IconHint": "settings",
        "Name": "admin",
        "PrimaryTable": null,
        "PrimaryView": null,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0,
        "FullPath": "/admin",
        "HandlerBaseName": "admin",
        "RelativePath": "/admin/routing/nav-admin",
        "CreatedAt": null,
        "ModifiedAt": null,
        "ModifiedByModel": null
      },
      {
        "RoutingAndNavigationId": "nav-admin-harness",
        "DisplayName": "Harness",
        "Route": "/admin/harness",
        "Description": "The witnessed inference harness (home screen).",
        "SortOrder": 91,
        "ParentRouteKey": "admin",
        "RouteKey": "admin.harness",
        "NavLevel": "sub",
        "RoleVisibility": "admin",
        "IsDynamic": false,
        "PinToTop": false,
        "AdminCRUD": "CRUD",
        "IntakeClinicianCRUD": "",
        "DiagnosingDoctorCRUD": "",
        "ExternalLlmCRUD": "",
        "CreatedBy": "build-seed",
        "ModifiedBy": "build-seed",
        "IconHint": "list-checks",
        "Name": "harness",
        "PrimaryTable": null,
        "PrimaryView": null,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"/admin/harness",
        "HandlerBaseName": "admin harness",
        "RelativePath": "/admin/routing/nav-admin-harness",
        "CreatedAt": null,
        "ModifiedAt": null,
        "ModifiedByModel": null
      },
      {
        "RoutingAndNavigationId": "nav-admin-routing",
        "DisplayName": "Routing",
        "Route": "/admin/routing",
        "Description": "Edit role-based navigation.",
        "SortOrder": 92,
        "ParentRouteKey": "admin",
        "RouteKey": "admin.routing",
        "NavLevel": "sub",
        "RoleVisibility": "admin",
        "IsDynamic": false,
        "PinToTop": false,
        "AdminCRUD": "CRUD",
        "IntakeClinicianCRUD": "",
        "DiagnosingDoctorCRUD": "",
        "ExternalLlmCRUD": "",
        "CreatedBy": "build-seed",
        "ModifiedBy": "build-seed",
        "PrimaryTable": "RoutingAndNavigation",
        "PrimaryView": "vw_routing_and_navigation",
        "IconHint": "route",
        "Name": "routing",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"/admin/routing",
        "HandlerBaseName": "admin routing",
        "RelativePath": "/admin/routing/nav-admin-routing",
        "CreatedAt": null,
        "ModifiedAt": null,
        "ModifiedByModel": null
      },
      {
        "RoutingAndNavigationId": "nav-admin-state-machine",
        "DisplayName": "State Machine",
        "Route": "/admin/state-machine",
        "Description": "View/edit the diagnosis lifecycle.",
        "SortOrder": 93,
        "ParentRouteKey": "admin",
        "RouteKey": "admin.state-machine",
        "NavLevel": "sub",
        "RoleVisibility": "admin",
        "IsDynamic": false,
        "PinToTop": false,
        "AdminCRUD": "CRUD",
        "IntakeClinicianCRUD": "",
        "DiagnosingDoctorCRUD": "",
        "ExternalLlmCRUD": "",
        "CreatedBy": "build-seed",
        "ModifiedBy": "build-seed",
        "PrimaryTable": "StateMachines",
        "PrimaryView": "vw_state_machines",
        "IconHint": "workflow",
        "Name": "state-machine",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"/admin/state-machine",
        "HandlerBaseName": "admin state machine",
        "RelativePath": "/admin/routing/nav-admin-state-machine",
        "CreatedAt": null,
        "ModifiedAt": null,
        "ModifiedByModel": null
      },
      {
        "RoutingAndNavigationId": "nav-admin-explainer",
        "DisplayName": "Explainer DAG",
        "Route": "/admin/explainer",
        "Description": "Click any derived field to see how it was computed.",
        "SortOrder": 94,
        "ParentRouteKey": "admin",
        "RouteKey": "admin.explainer",
        "NavLevel": "sub",
        "RoleVisibility": "admin",
        "IsDynamic": false,
        "PinToTop": false,
        "AdminCRUD": "CRUD",
        "IntakeClinicianCRUD": "",
        "DiagnosingDoctorCRUD": "",
        "ExternalLlmCRUD": "",
        "CreatedBy": "build-seed",
        "ModifiedBy": "build-seed",
        "IconHint": "share-2",
        "Name": "explainer-dag",
        "PrimaryTable": null,
        "PrimaryView": null,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"/admin/explainer",
        "HandlerBaseName": "admin explainer",
        "RelativePath": "/admin/routing/nav-admin-explainer",
        "CreatedAt": null,
        "ModifiedAt": null,
        "ModifiedByModel": null
      },
      {
        "RoutingAndNavigationId": "nav-admin-owl",
        "DisplayName": "OWL Conformance",
        "Route": "/admin/owl",
        "Description": "Cross-substrate conformance: OWL-RL closure == Postgres closure (inference kind #7).",
        "SortOrder": 3,
        "ParentRouteKey": "",
        "RouteKey": "admin.owl",
        "NavLevel": "top",
        "RoleVisibility": "admin",
        "IsDynamic": false,
        "PinToTop": false,
        "AdminCRUD": "CRUD",
        "IntakeClinicianCRUD": "",
        "DiagnosingDoctorCRUD": "",
        "ExternalLlmCRUD": "",
        "CreatedBy": "build-seed",
        "ModifiedBy": "build-seed",
        "IconHint": "git-merge",
        "Name": "owl-conformance",
        "PrimaryTable": null,
        "PrimaryView": null,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0,
        "FullPath": "/admin/owl",
        "HandlerBaseName": "admin owl",
        "RelativePath": "/admin/routing/nav-admin-owl",
        "CreatedAt": null,
        "ModifiedAt": null,
        "ModifiedByModel": null
      },
      {
        "RoutingAndNavigationId": "nav-admin-cohort",
        "DisplayName": "Cohort discovery",
        "Route": "/cohort",
        "Description": "All 7 cases and their keystone verdicts.",
        "SortOrder": 5,
        "ParentRouteKey": "",
        "RouteKey": "admin.cohort",
        "NavLevel": "top",
        "RoleVisibility": "admin,diagnosing-doctor,intake-clinician",
        "IsDynamic": false,
        "PinToTop": false,
        "AdminCRUD": "CRUD",
        "IntakeClinicianCRUD": "",
        "DiagnosingDoctorCRUD": "",
        "ExternalLlmCRUD": "",
        "CreatedBy": "build-seed",
        "ModifiedBy": "build-seed",
        "PrimaryTable": "IndividualPredictions",
        "PrimaryView": "vw_individual_predictions",
        "IconHint": "users",
        "Name": "cohort-discovery",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t>
  </si>
  <si>
    <t xml:space="preserve">l,
        "ExternalLlmCanRead": null,
        "ExternalLlmCanUpdate": null,
        "ExternalLlmCanDelete": null,
        "Depth": 0,
        "FullPath": "/cohort",
        "HandlerBaseName": "admin cohort",
        "RelativePath": "/admin/routing/nav-admin-cohort",
        "CreatedAt": null,
        "ModifiedAt": null,
        "ModifiedByModel": null
      },
      {
        "RoutingAndNavigationId": "nav-admin-loops",
        "DisplayName": "Effortless Loops",
        "Route": "/admin/loops",
        "Description": "Edit the Effortless loop plan rows and regenerate EFFORTLESS_LOOPS.md.",
        "SortOrder": 96,
        "ParentRouteKey": "admin",
        "RouteKey": "admin.loops",
        "NavLevel": "sub",
        "RoleVisibility": "admin",
        "IsDynamic": false,
        "PinToTop": false,
        "AdminCRUD": "CRUD",
        "IntakeClinicianCRUD": "",
        "DiagnosingDoctorCRUD": "",
        "ExternalLlmCRUD": "",
        "CreatedBy": "build-seed",
        "ModifiedBy": "build-seed",
        "PrimaryTable": "EffortlessLoops",
        "PrimaryView": "vw_effortless_loops",
        "IconHint": "repeat",
        "Name": "effortless-loops",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"/admin/loops",
        "HandlerBaseName": "admin loops",
        "RelativePath": "/admin/routing/nav-admin-loops",
        "CreatedAt": null,
        "ModifiedAt": null,
        "ModifiedByModel": null
      }
    ]
  },
  "StateMachines": {
    "Description": "State-machine definitions.",
    "schema": [
      {
        "name": "StateMachineId",
        "datatype": "string",
        "type": "raw",
        "nullable": false,
        "Description": "Slug PK, e.g. diagnosis-lifecycle."
      },
      {
        "name": "Name",
        "datatype": "string",
        "type": "calculated",
        "nullable": true,
        "Description": "Echoes StateMachineId.",
        "formula": "={{StateMachineId}}"
      },
      {
        "name": "RelativePath",
        "datatype": "string",
        "type": "calculated",
        "nullable": true,
        "Description": "Path to this machine's page.",
        "formula": "=\"/admin/state-machine/\" &amp; {{StateMachineId}}"
      },
      {
        "name": "Title",
        "datatype": "string",
        "type": "raw",
        "nullable": true,
        "Description": "Human-readable machine title."
      },
      {
        "name": "Description",
        "datatype": "string",
        "type": "raw",
        "nullable": true,
        "Description": "What this machine governs and its high-level flow."
      },
      {
        "name": "SubjectTableName",
        "datatype": "string",
        "type": "raw",
        "nullable": false,
        "Description": "Entity table this machine governs (convention string, NOT a FK)."
      },
      {
        "name": "SubjectStateColumn",
        "datatype": "string",
        "type": "raw",
        "nullable": false,
        "Description": "Raw/derived column on the subject holding its current state."
      },
      {
        "name": "MachineStates",
        "datatype": "string",
        "type": "relationship",
        "nullable": true,
        "Description": "Reverse: legal states of this machine.",
        "RelatedTo": "MachineStates",
        "isReversed": false,
        "prefersSingleRecordLink": true,
        "InverseField": ""
      },
      {
        "name": "StateTransitionRules",
        "datatype": "string",
        "type": "relationship",
        "nullable": true,
        "Description": "Reverse: legal edges of this machine.",
        "RelatedTo": "StateTransitionRules",
        "isReversed": false,
        "prefersSingleRecordLink": true,
        "InverseField": ""
      },
      {
        "name": "StateTransitions",
        "datatype": "string",
        "type": "relationship",
        "nullable": true,
        "Description": "Reverse: instance transition log rows.",
        "RelatedTo": "StateTransitions",
        "isReversed": false,
        "prefersSingleRecordLink": true,
        "InverseField": ""
      },
      {
        "name": "StateCount",
        "datatype": "number",
        "type": "aggregation",
        "nullable": true,
        "Description": "Count of MachineStates in this machine.",
        "formula": "=COUNTIFS(MachineStates!{{StateMachine}}, {{StateMachineId}})"
      },
      {
        "name": "TransitionRuleCount",
        "datatype": "number",
        "type": "aggregation",
        "nullable": true,
        "Description": "Count of StateTransitionRules in this machine.",
        "formula": "=COUNTIFS(StateTransitionRules!{{StateMachine}}, {{StateMachineId}})"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"StateMachineId": "diagnosis-lifecycle",
        "Title": "Diagnosis Lifecycle",
        "Description": "Walks each case from Intake through the four gates to a terminal Actionable / NotActionable verdict. Each patient branches at its single deciding gate. Current state is DERIVED (IndividualPredictions.LifecycleStateKey); the transition log is the witnessed history.",
        "SubjectTableName": "IndividualPredictions",
        "SubjectStateColumn": "LifecycleStateKey",
        "CreatedBy": "build-seed",
        "ModifiedBy": "build-seed",
        "Name": "diagnosis-lifecycle",
        "RelativePath": "/admin/state-machine/diagnosis-lifecycle",
        "MachineStates": null,
        "StateTransitionRules": null,
        "StateTransitions": null,
        "StateCount": 7,
        "TransitionRuleCount": 9,
        "CreatedAt": null,
        "ModifiedAt": null,
        "ModifiedByModel": null
      },
      {
        "StateMachineId": "lupus-nephritis-progression",
        "Name": "lupus-nephritis-progression",
        "RelativePath": "/admin/state-machine/lupus-nephritis-progression",
        "Title": "Lupus-Nephritis Progression",
        "Description": "Disease-state simulator: a patient's lupus-nephritis course derived from raw serology trajectories. Presymptomatic -&gt; SerologicActive -&gt; EarlyNephritis -&gt; RenalFlareRisk -&gt; BiopsyIndicated (+ Quiescent). Current state is the derived Individuals.NephritisProgressionStateKey; never hand-set.",
        "SubjectTableName": "Individuals",
        "SubjectStateColumn": "NephritisProgressionStateKey",
        "CreatedBy": "v2-step3",
        "CreatedAt": "2026-06-20T00:00:00Z",
        "ModifiedBy": "v2-step3",
        "ModifiedAt": "2026-06-20T00:00:00Z",
        "ModifiedByModel": "claude-opus-4-8",
        "MachineStates": null,
        "StateTransitionRules": null,
        "StateTransitions": null,
        "StateCount": 6,
        "TransitionRuleCount": 5
      }
    ]
  },
  "MachineStates": {
    "Description": "Legal states of each machine.",
    "schema": [
      {
        "name": "MachineStateId",
        "datatype": "string",
        "type": "raw",
        "nullable": false,
        "Description": "Slug PK, e.g. diagnosis-lifecycle--intake."
      },
      {
        "name": "Name",
        "datatype": "string",
        "type": "calculated",
        "nullable": true,
        "Description": "Echoes MachineStateId.",
        "formula": "={{MachineStateId}}"
      },
      {
        "name": "RelativePath",
        "datatype": "string",
        "type": "calculated",
        "nullable": true,
        "Description": "Path to this state's page.",
        "formula": "=\"/admin/state-machine/states/\" &amp; {{MachineStateId}}"
      },
      {
        "name": "StateMachine",
        "datatype": "string",
        "type": "relationship",
        "nullable": false,
        "Description": "FK -&gt; StateMachines.StateMachineId.",
        "RelatedTo": "StateMachines",
        "isReversed": false,
        "prefersSingleRecordLink": true,
        "InverseField": ""
      },
      {
        "name": "StateKey",
        "datatype": "string",
        "type": "raw",
        "nullable": false,
        "Description": "Bare value as stored/derived in the subject's current-state column."
      },
      {
        "name": "Title",
        "datatype": "string",
        "type": "raw",
        "nullable": true,
        "Description": "Human-readable state title."
      },
      {
        "name": "OrderIndex",
        "datatype": "number",
        "type": "raw",
        "nullable": true,
        "Description": "Sort order of this state within the machine."
      },
      {
        "name": "IsInitial",
        "datatype": "boolean",
        "type": "raw",
        "nullable": true,
        "Description": "TRUE if this is the machine's entry state."
      },
      {
        "name": "IsTerminal",
        "datatype": "boolean",
        "type": "raw",
        "nullable": true,
        "Description": "TRUE if this is a terminal/end state."
      },
      {
        "name": "FromTransitionRules",
        "datatype": "string",
        "type": "relationship",
        "nullable": true,
        "Description": "Reverse: rules whose FromState is this state.",
        "RelatedTo": "StateTransitionRules",
        "isReversed": false,
        "prefersSingleRecordLink": true,
        "InverseField": ""
      },
      {
        "name": "ToTransitionRules",
        "datatype": "string",
        "type": "relationship",
        "nullable": true,
        "Description": "Reverse: rules whose ToState is this state.",
        "RelatedTo": "StateTransitionRules",
        "isReversed": false,
        "prefersSingleRecordLink": true,
        "InverseField": ""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"name": "ReachableStateCount",
        "datatype": "integer",
        "type": "aggregation",
        "nullable": true,
        "important": true,
        "Description": "Number of states reachable FROM this state via the transitive closure of the transition edges (rollup over vw_state_transition_rules_closure where from_id = this state). This is a graph-reachability fact the linear severity rank CANNOT reproduce: both Quiescent (the remission sink) and BiopsyIndicated (the terminal progression state) have 0 reachable-ahead, though they sit at opposite ends of the order — the count is non-monotonic in OrderIndex because the machine BRANCHES (remission). The closure is load-bearing here: delete it and this field is uncomputable.",
        "formula": "=COUNTIFS(vw_state_transition_rules_closure!{{FromId}}, {{MachineStateId}})"
      }
    ],
    "data": [
      {
        "MachineStateId": "diagnosis-lifecycle--intake",
        "StateMachine": "diagnosis-lifecycle",
        "StateKey": "Intake",
        "Title": "Intake",
        "OrderIndex": 1,
        "IsInitial": true,
        "IsTerminal": false,
        "CreatedBy": "build-seed",
        "ModifiedBy": "build-seed",
        "Name": "diagnosis-lifecycle--intake",
        "RelativePath": "/admin/state-machine/states/diagnosis-lifecycle--intake",
        "FromTransitionRules": null,
        "ToTransitionRules": null,
        "CreatedAt": null,
        "ModifiedAt": null,
        "ModifiedByModel": null,
        "ReachableStateCount": 6
      },
      {
        "MachineStateId": "diagnosis-lifecycle--evidenceassessed",
        "StateMachine": "diagnosis-lifecycle",
        "StateKey": "EvidenceAssessed",
        "Title": "EvidenceAssessed",
        "OrderIndex": 2,
        "IsInitial": false,
        "IsTerminal": false,
        "CreatedBy": "build-seed",
        "ModifiedBy": "build-seed",
        "Name": "diagnosis-lifecycle--evidenceassessed",
        "RelativePath": "/admin/state-machine/states/diagnosis-lifecycle--evidenceassessed",
        "FromTransitionRules": null,
        "ToTransitionRules": null,
        "CreatedAt": null,
        "ModifiedAt": null,
        "ModifiedByModel": null,
        "ReachableStateCount": 5
      },
      {
        "MachineStateId": "diagnosis-lifecycle--mechanismconfirmed",
        "StateMachine": "diagnosis-lifecycle",
        "StateKey": "MechanismConfirmed",
        "Title": "MechanismConfirmed",
        "OrderIndex": 3,
        "IsInitial": false,
        "IsTerminal": false,
        "CreatedBy": "build-seed",
        "ModifiedBy": "build-seed",
        "Name": "diagnosis-lifecycle--mechanismconfirmed",
        "RelativePath": "/admin/state-machine/states/diagnosis-lifecycle--mechanismconfirmed",
        "FromTransitionRules": null,
        "ToTransitionRules": null,
        "CreatedAt": null,
        "ModifiedAt": null,
        "ModifiedByModel": null,
        "ReachableStateCount": 4
      },
      {
        "MachineStateId": "diagnosis-lifecycle--calibrationchecked",
        "StateMachine": "diagnosis-lifecycle",
        "StateKey": "CalibrationChecked",
        "Title": "CalibrationChecked",
        "OrderIndex": 4,
        "IsInitial": false,
        "IsTerminal": false,
        "CreatedBy": "build-seed",
        "ModifiedBy": "build-seed",
        "Name": "diagnosis-lifecycle--calibrationchecked",
        "RelativePath": "/admin/state-machine/states/diagnosis-lifecycle--calibrationchecked",
        "FromTransitionRules": null,
        "ToTransitionRules": null,
        "CreatedAt": null,
        "ModifiedAt": null,
        "ModifiedByModel": null,
        "ReachableStateCount": 3
      },
      {
        "MachineStateId": "diagnosis-lifecycle--transportchecked",
        "StateMachine": "diagnosis-lifecycle",
        "StateKey": "TransportChecked",
        "Title": "TransportChecked",
        "OrderIndex": 5,
        "IsInitial": false,
        "IsTerminal": false,
        "CreatedBy": "build-seed",
        "ModifiedBy": "build-seed",
        "Name": "diagnosis-lifecycle--transportchecked",
        "RelativePath": "/admin/state-machine/states/diagnosis-lifecycle--transportchecked",
        "FromTransitionRules": null,
        "ToTransitionRules": null,
        "CreatedAt": null,
        "ModifiedAt": null,
        "ModifiedByModel": null,
        "ReachableStateCount": 2
      },
      {
        "MachineStateId": "diagnosis-lifecycle--actionable",
        "StateMachine": "diagnosis-lifecycle",
        "StateKey": "Actionable",
        "Title": "Actionable",
        "OrderIndex": 6,
        "IsInitial": false,
        "IsTerminal": true,
        "CreatedBy": "build-seed",
        "ModifiedBy": "build-seed",
        "Name": "diagnosis-lifecycle--actionable",
        "RelativePath": "/admin/state-machine/states/diagnosis-lifecycle--actionable",
        "FromTransitionRules": null,
        "ToTransitionRules": null,
        "CreatedAt": null,
        "ModifiedAt": null,
        "ModifiedByModel": null,
        "ReachableStateCount": 0
      },
      {
        "MachineStateId": "diagnosis-lifecycle--notactionable",
        "StateMachine": "diagnosis-lifecycle",
        "StateKey": "NotActionable",
        "Title": "NotActionable",
        "OrderIndex": 7,
        "IsInitial": false,
        "IsTerminal": true,
        "CreatedBy": "build-seed",
        "ModifiedBy": "build-seed",
        "Name": "diagnosis-lifecycle--notactionable",
        "RelativePath": "/admin/state-machine/states/diagnosis-lifecycle--notactionable",
        "FromTransitionRules": null,
        "ToTransitionRules": null,
        "CreatedAt": null,
        "ModifiedAt": null,
        "ModifiedByModel": null,
        "ReachableStateCount": 0
      },
      {
        "MachineStateId": "lupus-nephritis-progression--quiescent",
        "Name": "lupus-nephritis-progression--quiescent",
        "RelativePath": "/admin/state-machine/states/lupus-nephritis-progression--quiescent",
        "StateMachine": "lupus-nephritis-progression",
        "StateKey": "Quiescent",
        "Title": "Quiescent / in remission",
        "OrderIndex": 0,
        "IsInitial": false,
        "IsTerminal": true,
        "CreatedBy": "v2-step3",
        "CreatedAt": "2026-06-20T00:00:00Z",
        "ModifiedBy": "v2-step3",
        "ModifiedAt": "2026-06-20T00:00:00Z",
        "ModifiedByModel": "claude-opus-4-8",
        "FromTransitionRules": null,
        "ToTransitionRules": null,
        "ReachableStateCount": 0
      },
      {
        "MachineStateId": "lupus-nephritis-progression--presymptomaticautoimmunity",
        "Name": "lupus-nephritis-progression--presymptomaticautoimmunity",
        "RelativePath": "/admin/state-machine/states/lupus-nephritis-progression--presymptomaticautoimmunity",
        "StateMachine": "lupus-nephritis-progression",
        "StateKey": "PresymptomaticAutoimmunity",
        "Title": "Presymptomatic autoimmunity (serology only)",
        "OrderIndex": 1,
        "IsInitial": true,
        "IsTerminal": false,
        "CreatedBy": "v2-step3",
        "CreatedAt": "2026-06-20T00:00:00Z",
        "ModifiedBy": "v2-step3",
        "ModifiedAt": "2026-06-20T00:00:00Z",
        "ModifiedByModel": "claude-opus-4-8",
        "FromTransitionRules": null,
        "ToTransitionRules": null,
        "ReachableStateCount": 5
      },
      {
        "MachineStateId": "lupus-nephritis-progression--serologicactive",
        "Name": "lupus-nephritis-progression--serologicactive",
        "RelativePath": "/admin/state-machine/states/lupus-nephritis-progression--serologicactive",
        "StateMachine": "lupus-nephritis-progression",
        "StateKey": "SerologicActive",
        "Title": "Serologically active (rising dsDNA / falling complement)",
        "OrderIndex": 2,
        "IsInitial": false,
        "IsTerminal": false,
        "CreatedBy": "v2-step3",
        "CreatedAt": "2026-06-20T00:00:00Z",
        "ModifiedBy": "v2-step3",
        "ModifiedAt": "2026-06-20T00:00:00Z",
        "ModifiedByModel": "claude-opus-4-8",
        "FromTransitionRules": null,
        "ToTransitionRules": null,
        "ReachableStateCount": 4
      },
      {
        "MachineStateId": "lupus-nephritis-progression--earlynephritis",
        "Name": "lupus-nephritis-progression--earlynephritis",
        "RelativePath": "/admin/state-machine/states/lupus-nephritis-progression--earlynephritis",
        "StateMachine": "lupus-nephritis-progression",
        "StateKey": "EarlyNephritis",
        "Title": "Early nephritis (significant proteinuria)",
        "OrderIndex": 3,
        "IsInitial": false,
        "IsTerminal": false,
        "CreatedBy": "v2-step3",
        "CreatedAt": "2026-06-20T00:00:00Z",
        "ModifiedBy": "v2-step3",
        "ModifiedAt": "2026-06-20T00:00:00Z",
        "ModifiedByModel": "claude-opus-4-8",
        "FromTransitionRules": null,
        "ToTransitionRules": null,
        "ReachableStateCount": 2
      },
      {
        "MachineStateId": "lupus-nephritis-progression--renalflarerisk",
        "Name": "lupus-nephritis-progression--renalflarerisk",
        "RelativePath": "/admin/state-machine/states/lupus-nephritis-progression--renalflarerisk",
        "StateMachine": "lupus-nephritis-progression",
        "StateKey": "RenalFlareRisk",
        "Title": "At risk of renal flare",
        "OrderIndex": 4,
        "IsInitial": false,
        "IsTerminal": false,
        "CreatedBy": "v2-step3",
        "CreatedAt": "2026-06-20T00:00:00Z",
        "ModifiedBy": "v2-step3",
        "ModifiedAt": "2026-06-20T00:00:00Z",
        "ModifiedByModel": "claude-opus-4-8",
        "FromTransitionRules": null,
        "ToTransitionRules": null,
        "ReachableStateCount": 1
      },
      {
        "MachineStateId": "lupus-nephritis-progression--biopsyindicated",
        "Name": "lupus-nephritis-progression--biopsyindicated",
        "RelativePath": "/admin/state-machine/states/lupus-nephritis-progression--biopsyindicated",
        "StateMachine": "lupus-nephritis-progression",
        "StateKey": "BiopsyIndicated",
        "Title": "Biopsy indicated",
        "OrderIndex": 5,
        "IsInitial": false,
        "IsTerminal": true,
        "CreatedBy": "v2-step3",
        "CreatedAt": "2026-06-20T00:00:00Z",
        "ModifiedBy": "v2-step3",
        "ModifiedAt": "2026-06-20T00:00:00Z",
        "ModifiedByModel": "claude-opus-4-8",
        "FromTransitionRules": null,
        "ToTransitionRules": null,
        "ReachableStateCount": 0
      }
    ]
  },
  "StateTransitionRules": {
    "Description": "Legal edges (guards) of each machine.",
    "schema": [
      {
        "name": "StateTransitionRuleId",
        "datatype": "string",
        "type": "raw",
        "nullable": false,
        "Description": "Slug PK."
      },
      {
        "name": "Name",
        "datatype": "string",
        "type": "calculated",
        "nullable": true,
        "Description": "Echoes StateTransitionRuleId.",
        "formula": "={{StateTransitionRuleId}}"
      },
      {
        "name": "RelativePath",
        "datatype": "string",
        "type": "calculated",
        "nullable": true,
        "Description": "Path to this rule's page.",
        "formula": "=\"/admin/state-machine/rules/\" &amp; {{StateTransitionRuleId}}"
      },
      {
        "name": "StateMachine",
        "datatype": "string",
        "type": "relationship",
        "nullable": false,
        "Description": "FK -&gt; StateMachines.StateMachineId.",
        "RelatedTo": "StateMachines",
        "isReversed": false,
        "prefersSingleRecordLink": true,
        "InverseField": ""
      },
      {
        "name": "FromState",
        "datatype": "string",
        "type": "relationship",
        "nullable": false,
        "Description": "FK -&gt; MachineStates.MachineStateId.",
        "RelatedTo": "MachineStates",
        "isReversed": false,
        "prefersSingleRecordLink": true,
        "InverseField": ""
      },
      {
        "name": "ToState",
        "datatype": "string",
        "type": "relationship",
        "nullable": false,
        "Description": "FK -&gt; MachineStates.MachineStateId.",
        "RelatedTo": "MachineStates",
        "isReversed": false,
        "prefersSingleRecordLink": true,
        "InverseField": ""
      },
      {
        "name": "GuardDescription",
        "datatype": "string",
        "type": "raw",
        "nullable": true,
        "Description": "Prose guard citing the DAG conditions. Does NOT reimplement rule logic."
      },
      {
        "name": "RuleRefs",
        "datatype": "string",
        "type": "raw",
        "nullable": true,
        "Description": "CSV of business-rule / gate codes the guard enforces."
      },
      {
        "name": "TriggerEndpoint",
        "datatype": "string",
        "type": "raw",
        "nullable": true,
        "Description": "API endpoint whose action fires this transition."
      },
      {
        "name": "TriggeredByRole",
        "datatype": "string",
        "type": "raw",
        "nullable": true,
        "Description": "Role that fires this edge. Enum: system / intake-clinician / diagnosing-doctor / external-llm."
      },
      {
        "name": "FromStateKey",
        "datatype": "string",
        "type": "lookup",
        "nullable": true,
        "Description": "Lookup: FromState.StateKey.",
        "RelatedTo": "MachineStates",
        "LookupField": "StateKey",
        "ViaField": "FromState",
        "formula": "=INDEX(MachineStates!{{StateKey}}, MATCH({{FromState}}, MachineStates!{{MachineStateId}}, 0))"
      },
      {
        "name": "ToStateKey",
        "datatype": "string",
        "type": "lookup",
        "nullable": true,
        "Description": "Lookup: ToState.StateKey.",
        "RelatedTo": "MachineStates",
        "LookupField": "StateKey",
        "ViaField": "ToState",
        "formula": "=INDEX(MachineStates!{{StateKey}}, MATCH({{ToState}}, MachineStates!{{MachineStateId}}, 0))"
      },
      {
        "name": "IsForwardEdge",
        "datatype": "boolean",
        "type": "calculated",
        "nullable": true,
        "Description": "TRUE when the edge advances to a different state (all edges here).",
        "formula": "=NOT({{ToStateKey}}={{FromStateKey}})"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"name": "ProgressionClosure",
        "datatype": "string",
        "type": "closure",
        "nullable": true,
        "important": true,
        "Description": "Transitive closure of state-machine transitions (an owl:TransitiveProperty). The asserted FromState-&gt;ToState edges imply the full reachability ordering of each machine - including never-asserted long-range pairs such as PresymptomaticAutoimmunity -&gt; BiopsyIndicated. Materialized by the transpiler as the cycle-safe recursive view vw_state_transition_rules_closure(from_id, to_id, hop_distance, is_inferred): asserted edges (hop 1) plus inferred reachability rows. The disease trajectory is derived from the transition topology, not hand-asserted.",
        "EdgeTable": "StateTransitionRules",
        "FromColumn": "FromState",
        "ToColumn": "ToState"
      }
    ],
    "data": [
      {
        "StateTransitionRuleId": "diagnosis-lifecycle--intake-&gt;evidenceassessed",
        "StateMachine": "diagnosis-lifecycle",
        "FromState": "diagnosis-lifecycle--intake",
        "ToState": "diagnosis-lifecycle--evidenceassessed",
        "GuardDescription": "Intake facts transcribed; evidence atoms computed.",
        "TriggeredByRole": "system",
        "CreatedBy": "build-seed",
        "ModifiedBy": "build-seed",
        "Name": "diagnosis-lifecycle--intake-&gt;evidenceassessed",
        "RelativePath": "/admin/state-machine/rules/diagnosis-lifecycle--intake-&gt;evidenceassessed",
        "RuleRefs": null,
        "TriggerEndpoint": null,
        "FromStateKey": "Intake",
        "ToStateKey": "EvidenceAssessed",
        "IsForwardEdge": true,
        "CreatedAt": null,
        "ModifiedAt": null,
        "ModifiedByModel": null
      },
      {
        "StateTransitionRuleId": "diagnosis-lifecycle--evidenceassessed-&gt;mechanismconfirmed",
        "StateMachine": "diagnosis-lifecycle",
        "FromState": "diagnosis-lifecycle--evidenceassessed",
        "ToState": "diagnosis-lifecycle--mechanismconfirmed",
        "GuardDescription": "IsCausalArchitectureNode TRUE (replicated, controls survive, &gt;=2 modalities).",
        "TriggeredByRole": "system",
        "CreatedBy": "build-seed",
        "ModifiedBy": "build-seed",
        "Name": "diagnosis-lifecycle--evidenceassessed-&gt;mechanismconfirmed",
        "RelativePath": "/admin/state-machine/rules/diagnosis-lifecycle--evidenceassessed-&gt;mechanismconfirmed",
        "RuleRefs": null,
        "TriggerEndpoint": null,
        "FromStateKey": "EvidenceAssessed",
        "ToStateKey": "MechanismConfirmed",
        "IsForwardEdge": true,
        "CreatedAt": null,
        "ModifiedAt": null,
        "ModifiedByModel": null
      },
      {
        "StateTransitionRuleId": "diagnosis-lifecycle--evidenceassessed-&gt;notactionable",
        "StateMachine": "diagnosis-lifecycle",
        "FromState": "diagnosis-lifecycle--evidenceassessed",
        "ToState": "diagnosis-lifecycle--notactionable",
        "GuardDescription": "Spurious mechanism OR no falsifiability (0 intervention targets).",
        "TriggeredByRole": "system",
        "CreatedBy": "build-seed",
        "ModifiedBy": "build-seed",
        "Name": "diagnosis-lifecycle--evidenceassessed-&gt;notactionable",
        "RelativePath": "/admin/state-machine/rules/diagnosis-lifecycle--evidenceassessed-&gt;notactionable",
        "RuleRefs": null,
        "TriggerEndpoint": null,
        "FromStateKey": "EvidenceAssessed",
        "ToStateKey": "NotActionable",
        "IsForwardEdge": true,
        "CreatedAt": null,
        "ModifiedAt": null,
        "ModifiedByModel": null
      },
      {
        "StateTransitionRuleId": "diagnosis-lifecycle--mechanismconfirmed-&gt;calibrationchecked",
        "StateMachine": "diagnosis-lifecycle",
        "FromState": "diagnosis-lifecycle--mechanismconfirmed",
        "ToState": "diagnosis-lifecycle--calibrationchecked",
        "GuardDescription": "RestsOnConfirmedMechanism and no cryptic leakage.",
        "TriggeredByRole": "system",
        "CreatedBy": "build-seed",
        "ModifiedBy": "build-seed",
        "Name": "diagnosis-lifecycle--mechanismconfirmed-&gt;calibrationchecked",
        "RelativePath": "/admin/state-machine/rules/diagnosis-lifecycle--mechanismconfirmed-&gt;calibrationchecked",
        "RuleRefs": null,
        "TriggerEndpoint": null,
        "FromStateKey": "MechanismConfirmed",
        "ToStateKey": "CalibrationChecked",
        "IsForwardEdge": true,
        "CreatedAt": null,
        "ModifiedAt": null,
        "ModifiedByModel": null
      },
      {
        "StateTransitionRuleId": "diagnosis-lifecycle--mechanismconfirmed-&gt;notactionable",
        "StateMachine": "diagnosis-lifecycle",
        "FromState": "diagnosis-lifecycle--mechanismconfirmed",
        "ToState": "diagnosis-lifecycle--notactionable",
        "GuardDescription": "Cryptic-relatedness leakage ⇒ HasSpuriousCorrelationFlag.",
        "TriggeredByRole": "system",
        "CreatedBy": "build-seed",
        "ModifiedBy": "build-seed",
        "Name": "diagnosis-lifecycle--mechanismconfirmed-&gt;notactionable",
        "RelativePath": "/admin/state-machine/rules/diagnosis-lifecycle--mechanismconfirmed-&gt;notactionable",
        "RuleRefs": null,
        "TriggerEndpoint": null,
        "FromStateKey": "MechanismConfirmed",
        "ToStateKey": "NotActionable",
        "IsForwardEdge": true,
        "CreatedAt": null,
        "ModifiedAt": null,
        "ModifiedByModel": null
      },
      {
        "StateTransitionRuleId": "diagnosis-lifecycle--calibrationchecked-&gt;transportchecked",
        "StateMachine": "diagnosis-lifecycle",
        "FromState": "diagnosis-lifecycle--calibrationchecked",
        "ToState": "diagnosis-lifecycle--transportchec</t>
  </si>
  <si>
    <t xml:space="preserve">ked",
        "GuardDescription": "CalibratedUncertainty &gt;= 0.7.",
        "TriggeredByRole": "system",
        "CreatedBy": "build-seed",
        "ModifiedBy": "build-seed",
        "Name": "diagnosis-lifecycle--calibrationchecked-&gt;transportchecked",
        "RelativePath": "/admin/state-machine/rules/diagnosis-lifecycle--calibrationchecked-&gt;transportchecked",
        "RuleRefs": null,
        "TriggerEndpoint": null,
        "FromStateKey": "CalibrationChecked",
        "ToStateKey": "TransportChecked",
        "IsForwardEdge": true,
        "CreatedAt": null,
        "ModifiedAt": null,
        "ModifiedByModel": null
      },
      {
        "StateTransitionRuleId": "diagnosis-lifecycle--calibrationchecked-&gt;notactionable",
        "StateMachine": "diagnosis-lifecycle",
        "FromState": "diagnosis-lifecycle--calibrationchecked",
        "ToState": "diagnosis-lifecycle--notactionable",
        "GuardDescription": "CalibratedUncertainty &lt; 0.7 (calibration gate fails).",
        "TriggeredByRole": "system",
        "CreatedBy": "build-seed",
        "ModifiedBy": "build-seed",
        "Name": "diagnosis-lifecycle--calibrationchecked-&gt;notactionable",
        "RelativePath": "/admin/state-machine/rules/diagnosis-lifecycle--calibrationchecked-&gt;notactionable",
        "RuleRefs": null,
        "TriggerEndpoint": null,
        "FromStateKey": "CalibrationChecked",
        "ToStateKey": "NotActionable",
        "IsForwardEdge": true,
        "CreatedAt": null,
        "ModifiedAt": null,
        "ModifiedByModel": null
      },
      {
        "StateTransitionRuleId": "diagnosis-lifecycle--transportchecked-&gt;actionable",
        "StateMachine": "diagnosis-lifecycle",
        "FromState": "diagnosis-lifecycle--transportchecked",
        "ToState": "diagnosis-lifecycle--actionable",
        "GuardDescription": "IsAncestryTransportSafe AND keystone holds.",
        "TriggeredByRole": "system",
        "CreatedBy": "build-seed",
        "ModifiedBy": "build-seed",
        "Name": "diagnosis-lifecycle--transportchecked-&gt;actionable",
        "RelativePath": "/admin/state-machine/rules/diagnosis-lifecycle--transportchecked-&gt;actionable",
        "RuleRefs": null,
        "TriggerEndpoint": null,
        "FromStateKey": "TransportChecked",
        "ToStateKey": "Actionable",
        "IsForwardEdge": true,
        "CreatedAt": null,
        "ModifiedAt": null,
        "ModifiedByModel": null
      },
      {
        "StateTransitionRuleId": "diagnosis-lifecycle--transportchecked-&gt;notactionable",
        "StateMachine": "diagnosis-lifecycle",
        "FromState": "diagnosis-lifecycle--transportchecked",
        "ToState": "diagnosis-lifecycle--notactionable",
        "GuardDescription": "NOT IsAncestryTransportSafe (ancestry-transport gate fails).",
        "TriggeredByRole": "system",
        "CreatedBy": "build-seed",
        "ModifiedBy": "build-seed",
        "Name": "diagnosis-lifecycle--transportchecked-&gt;notactionable",
        "RelativePath": "/admin/state-machine/rules/diagnosis-lifecycle--transportchecked-&gt;notactionable",
        "RuleRefs": null,
        "TriggerEndpoint": null,
        "FromStateKey": "TransportChecked",
        "ToStateKey": "NotActionable",
        "IsForwardEdge": true,
        "CreatedAt": null,
        "ModifiedAt": null,
        "ModifiedByModel": null
      },
      {
        "StateTransitionRuleId": "lupus-nephritis-progression--presymptomaticautoimmunity-&gt;serologicactive",
        "Name": "lupus-nephritis-progression--presymptomaticautoimmunity-&gt;serologicactive",
        "RelativePath": "/admin/state-machine/rules/lupus-nephritis-progression--presymptomaticautoimmunity-&gt;serologicactive",
        "StateMachine": "lupus-nephritis-progression",
        "FromState": "lupus-nephritis-progression--presymptomaticautoimmunity",
        "ToState": "lupus-nephritis-progression--serologicactive",
        "GuardDescription": "anti-dsDNA Rising AND complement Falling",
        "RuleRefs": "SERO-ACTIVE",
        "TriggerEndpoint": "/api/individuals/:id/serology",
        "TriggeredByRole": "system",
        "CreatedBy": "v2-step3",
        "CreatedAt": "2026-06-20T00:00:00Z",
        "ModifiedBy": "v2-step3",
        "ModifiedAt": "2026-06-20T00:00:00Z",
        "ModifiedByModel": "claude-opus-4-8",
        "FromStateKey": "PresymptomaticAutoimmunity",
        "ToStateKey": "SerologicActive",
        "IsForwardEdge": true
      },
      {
        "StateTransitionRuleId": "lupus-nephritis-progression--serologicactive-&gt;earlynephritis",
        "Name": "lupus-nephritis-progression--serologicactive-&gt;earlynephritis",
        "RelativePath": "/admin/state-machine/rules/lupus-nephritis-progression--serologicactive-&gt;earlynephritis",
        "StateMachine": "lupus-nephritis-progression",
        "FromState": "lupus-nephritis-progression--serologicactive",
        "ToState": "lupus-nephritis-progression--earlynephritis",
        "GuardDescription": "proteinuria &gt;= 0.5 g/day",
        "RuleRefs": "NEPH-ONSET",
        "TriggerEndpoint": "/api/individuals/:id/serology",
        "TriggeredByRole": "system",
        "CreatedBy": "v2-step3",
        "CreatedAt": "2026-06-20T00:00:00Z",
        "ModifiedBy": "v2-step3",
        "ModifiedAt": "2026-06-20T00:00:00Z",
        "ModifiedByModel": "claude-opus-4-8",
        "FromStateKey": "SerologicActive",
        "ToStateKey": "EarlyNephritis",
        "IsForwardEdge": true
      },
      {
        "StateTransitionRuleId": "lupus-nephritis-progression--earlynephritis-&gt;renalflarerisk",
        "Name": "lupus-nephritis-progression--earlynephritis-&gt;renalflarerisk",
        "RelativePath": "/admin/state-machine/rules/lupus-nephritis-progression--earlynephritis-&gt;renalflarerisk",
        "StateMachine": "lupus-nephritis-progression",
        "FromState": "lupus-nephritis-progression--earlynephritis",
        "ToState": "lupus-nephritis-progression--renalflarerisk",
        "GuardDescription": "proteinuria &gt;= 1.0 g/day",
        "RuleRefs": "FLARE-RISK",
        "TriggerEndpoint": "/api/individuals/:id/serology",
        "TriggeredByRole": "system",
        "CreatedBy": "v2-step3",
        "CreatedAt": "2026-06-20T00:00:00Z",
        "ModifiedBy": "v2-step3",
        "ModifiedAt": "2026-06-20T00:00:00Z",
        "ModifiedByModel": "claude-opus-4-8",
        "FromStateKey": "EarlyNephritis",
        "ToStateKey": "RenalFlareRisk",
        "IsForwardEdge": true
      },
      {
        "StateTransitionRuleId": "lupus-nephritis-progression--renalflarerisk-&gt;biopsyindicated",
        "Name": "lupus-nephritis-progression--renalflarerisk-&gt;biopsyindicated",
        "RelativePath": "/admin/state-machine/rules/lupus-nephritis-progression--renalflarerisk-&gt;biopsyindicated",
        "StateMachine": "lupus-nephritis-progression",
        "FromState": "lupus-nephritis-progression--renalflarerisk",
        "ToState": "lupus-nephritis-progression--biopsyindicated",
        "GuardDescription": "nephrotic-range proteinuria OR active urinary sediment",
        "RuleRefs": "BIOPSY-IND",
        "TriggerEndpoint": "/api/individuals/:id/serology",
        "TriggeredByRole": "system",
        "CreatedBy": "v2-step3",
        "CreatedAt": "2026-06-20T00:00:00Z",
        "ModifiedBy": "v2-step3",
        "ModifiedAt": "2026-06-20T00:00:00Z",
        "ModifiedByModel": "claude-opus-4-8",
        "FromStateKey": "RenalFlareRisk",
        "ToStateKey": "BiopsyIndicated",
        "IsForwardEdge": true
      },
      {
        "StateTransitionRuleId": "lupus-nephritis-progression--serologicactive-&gt;quiescent",
        "Name": "lupus-nephritis-progression--serologicactive-&gt;quiescent",
        "RelativePath": "/admin/state-machine/rules/lupus-nephritis-progression--serologicactive-&gt;quiescent",
        "StateMachine": "lupus-nephritis-progression",
        "FromState": "lupus-nephritis-progression--serologicactive",
        "ToState": "lupus-nephritis-progression--quiescent",
        "GuardDescription": "dsDNA Falling AND complement Rising AND proteinuria &lt; 0.5",
        "RuleRefs": "REMISSION",
        "TriggerEndpoint": "/api/individuals/:id/serology",
        "TriggeredByRole": "system",
        "CreatedBy": "v2-step3",
        "CreatedAt": "2026-06-20T00:00:00Z",
        "ModifiedBy": "v2-step3",
        "ModifiedAt": "2026-06-20T00:00:00Z",
        "ModifiedByModel": "claude-opus-4-8",
        "FromStateKey": "SerologicActive",
        "ToStateKey": "Quiescent",
        "IsForwardEdge": true
      }
    ]
  },
  "StateTransitions": {
    "Description": "Instance-level transition log (the witnessed history).",
    "schema": [
      {
        "name": "StateTransitionId",
        "datatype": "string",
        "type": "raw",
        "nullable": false,
        "Description": "Slug PK."
      },
      {
        "name": "Name",
        "datatype": "string",
        "type": "calculated",
        "nullable": true,
        "Description": "Echoes StateTransitionId.",
        "formula": "={{StateTransitionId}}"
      },
      {
        "name": "RelativePath",
        "datatype": "string",
        "type": "calculated",
        "nullable": true,
        "Description": "Path to this transition's page.",
        "formula": "=\"/admin/state-machine/transitions/\" &amp; {{StateTransitionId}}"
      },
      {
        "name": "StateMachine",
        "datatype": "string",
        "type": "relationship",
        "nullable": false,
        "Description": "FK -&gt; StateMachines.StateMachineId.",
        "RelatedTo": "StateMachines",
        "isReversed": false,
        "prefersSingleRecordLink": true,
        "InverseField": ""
      },
      {
        "name": "SubjectTableName",
        "datatype": "string",
        "type": "raw",
        "nullable": false,
        "Description": "Polymorphic: name of the subject's table (raw string, NOT a FK)."
      },
      {
        "name": "SubjectId",
        "datatype": "string",
        "type": "raw",
        "nullable": false,
        "Description": "Polymorphic: id of the subject row (raw string, NOT a FK)."
      },
      {
        "name": "FromStateKey",
        "datatype": "string",
        "type": "raw",
        "nullable": true,
        "Description": "Bare from-state value. Null on the initial creation transition."
      },
      {
        "name": "ToStateKey",
        "datatype": "string",
        "type": "raw",
        "nullable": false,
        "Description": "Bare to-state value."
      },
      {
        "name": "TransitionAt",
        "datatype": "string",
        "type": "raw",
        "nullable": true,
        "Description": "When the transition occurred."
      },
      {
        "name": "TriggeredByRole",
        "datatype": "string",
        "type": "raw",
        "nullable": true,
        "Description": "Role that fired this transition."
      },
      {
        "name": "Reason",
        "datatype": "string",
        "type": "raw",
        "nullable": true,
        "Description": "Why the transition happened (free text)."
      },
      {
        "name": "IsForward",
        "datatype": "boolean",
        "type": "calculated",
        "nullable": true,
        "Description": "TRUE when ToStateKey is not the machine's initial state.",
        "formula": "=NOT({{ToStateKey}}=\"Intake\")"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"StateTransitionId": "st-a-02-intake-to-evidenceassessed",
        "StateMachine": "diagnosis-lifecycle",
        "SubjectTableName": "IndividualPredictions",
        "SubjectId": "pred-a",
        "FromStateKey": "Intake",
        "ToStateKey": "EvidenceAssessed",
        "TransitionAt": "2026-06-02T09:00:00Z",
        "TriggeredByRole": "system",
        "Reason": "Intake → EvidenceAssessed.",
        "CreatedBy": "build-seed",
        "ModifiedBy": "build-seed",
        "Name": "st-a-02-intake-to-evidenceassessed",
        "RelativePath": "/admin/state-machine/transitions/st-a-02-intake-to-evidenceassessed",
        "IsForward": true,
        "CreatedAt": null,
        "ModifiedAt": null,
        "ModifiedByModel": null
      },
      {
        "StateTransitionId": "st-a-03-evidenceassessed-to-mechanismconfirmed",
        "StateMachine": "diagnosis-lifecycle",
        "SubjectTableName": "IndividualPredictions",
        "SubjectId": "pred-a",
        "FromStateKey": "EvidenceAssessed",
        "ToStateKey": "MechanismConfirmed",
        "TransitionAt": "2026-06-03T09:00:00Z",
        "TriggeredByRole": "system",
        "Reason": "EvidenceAssessed → MechanismConfirmed.",
        "CreatedBy": "build-seed",
        "ModifiedBy": "build-seed",
        "Name": "st-a-03-evidenceassessed-to-mechanismconfirmed",
        "RelativePath": "/admin/state-machine/transitions/st-a-03-evidenceassessed-to-mechanismconfirmed",
        "IsForward": true,
        "CreatedAt": null,
        "ModifiedAt": null,
        "ModifiedByModel": null
      },
      {
        "StateTransitionId": "st-a-04-mechanismconfirmed-to-calibrationchecked",
        "StateMachine": "diagnosis-lifecycle",
        "SubjectTableName": "IndividualPredictions",
        "SubjectId": "pred-a",
        "FromStateKey": "MechanismConfirmed",
        "ToStateKey": "CalibrationChecked",
        "TransitionAt": "2026-06-04T09:00:00Z",
        "TriggeredByRole": "system",
        "Reason": "MechanismConfirmed → CalibrationChecked.",
        "CreatedBy": "build-seed",
        "ModifiedBy": "build-seed",
        "Name": "st-a-04-mechanismconfirmed-to-calibrationchecked",
        "RelativePath": "/admin/state-machine/transitions/st-a-04-mechanismconfirmed-to-calibrationchecked",
        "IsForward": true,
        "CreatedAt": null,
        "ModifiedAt": null,
        "ModifiedByModel": null
      },
      {
        "StateTransitionId": "st-a-05-calibrationchecked-to-transportchecked",
        "StateMachine": "diagnosis-lifecycle",
        "SubjectTableName": "IndividualPredictions",
        "SubjectId": "pred-a",
        "FromStateKey": "CalibrationChecked",
        "ToStateKey": "TransportChecked",
        "TransitionAt": "2026-06-05T09:00:00Z",
        "TriggeredByRole": "system",
        "Reason": "CalibrationChecked → TransportChecked.",
        "CreatedBy": "build-seed",
        "ModifiedBy": "build-seed",
        "Name": "st-a-05-calibrationchecked-to-transportchecked",
        "RelativePath": "/admin/state-machine/transitions/st-a-05-calibrationchecked-to-transportchecked",
        "IsForward": true,
        "CreatedAt": null,
        "ModifiedAt": null,
        "ModifiedByModel": null
      },
      {
        "StateTransitionId": "st-a-06-transportchecked-to-actionable",
        "StateMachine": "diagnosis-lifecycle",
        "SubjectTableName": "IndividualPredictions",
        "SubjectId": "pred-a",
        "FromStateKey": "TransportChecked",
        "ToStateKey": "Actionable",
        "TransitionAt": "2026-06-06T09:00:00Z",
        "TriggeredByRole": "system",
        "Reason": "all gates pass.",
        "CreatedBy": "build-seed",
        "ModifiedBy": "build-seed",
        "Name": "st-a-06-transportchecked-to-actionable",
        "RelativePath": "/admin/state-machine/transitions/st-a-06-transportchecked-to-actionable",
        "IsForward": true,
        "CreatedAt": null,
        "ModifiedAt": null,
        "ModifiedByModel": null
      },
      {
        "StateTransitionId": "st-b-02-intake-to-evidenceassessed",
        "StateMachine": "diagnosis-lifecycle",
        "SubjectTableName": "IndividualPredictions",
        "SubjectId": "pred-b",
        "FromStateKey": "Intake",
        "ToStateKey": "EvidenceAssessed",
        "TransitionAt": "2026-06-02T09:00:00Z",
        "TriggeredByRole": "system",
        "Reason": "Intake → EvidenceAssessed.",
        "CreatedBy": "build-seed",
        "ModifiedBy": "build-seed",
        "Name": "st-b-02-intake-to-evidenceassessed",
        "RelativePath": "/admin/state-machine/transitions/st-b-02-intake-to-evidenceassessed",
        "IsForward": true,
        "CreatedAt": null,
        "ModifiedAt": null,
        "ModifiedByModel": null
      },
      {
        "StateTransitionId": "st-b-03-evidenceassessed-to-mechanismconfirmed",
        "StateMachine": "diagnosis-lifecycle",
        "SubjectTableName": "IndividualPredictions",
        "SubjectId": "pred-b",
        "FromStateKey": "EvidenceAssessed",
        "ToStateKey": "MechanismConfirmed",
        "TransitionAt": "2026-06-03T09:00:00Z",
        "TriggeredByRole": "system",
        "Reason": "EvidenceAssessed → MechanismConfirmed.",
        "CreatedBy": "build-seed",
        "ModifiedBy": "build-seed",
        "Name": "st-b-03-evidenceassessed-to-mechanismconfirmed",
        "RelativePath": "/admin/state-machine/transitions/st-b-03-evidenceassessed-to-mechanismconfirmed",
        "IsForward": true,
        "CreatedAt": null,
        "ModifiedAt": null,
        "ModifiedByModel": null
      },
      {
        "StateTransitionId": "st-b-04-mechanismconfirmed-to-calibrationchecked",
        "StateMachine": "diagnosis-lifecycle",
        "SubjectTableName": "IndividualPredictions",
        "SubjectId": "pred-b",
        "FromStateKey": "MechanismConfirmed",
        "ToStateKey": "CalibrationChecked",
        "TransitionAt": "2026-06-04T09:00:00Z",
        "TriggeredByRole": "system",
        "Reason": "MechanismConfirmed → CalibrationChecked.",
        "CreatedBy": "build-seed",
        "ModifiedBy": "build-seed",
        "Name": "st-b-04-mechanismconfirmed-to-calibrationchecked",
        "RelativePath": "/admin/state-machine/transitions/st-b-04-mechanismconfirmed-to-calibrationchecked",
        "IsForward": true,
        "CreatedAt": null,
        "ModifiedAt": null,
        "ModifiedByModel": null
      },
      {
        "StateTransitionId": "st-b-05-calibrationchecked-to-notactionable",
        "StateMachine": "diagnosis-lifecycle",
        "SubjectTableName": "IndividualPredictions",
        "SubjectId": "pred-b",
        "FromStateKey": "CalibrationChecked",
        "ToStateKey": "NotActionable",
        "TransitionAt": "2026-06-05T09:00:00Z",
        "TriggeredByRole": "system",
        "Reason": "calibration gate fails.",
        "CreatedBy": "build-seed",
        "ModifiedBy": "build-seed",
        "Name": "st-b-05-calibrationchecked-to-notactionable",
        "RelativePath": "/admin/state-machine/transitions/st-b-05-calibrationchecked-to-notactionable",
        "IsForward": true,
        "CreatedAt": null,
        "ModifiedAt": null,
        "ModifiedByModel": null
      },
      {
        "StateTransitionId": "st-c-02-intake-to-evidenceassessed",
        "StateMachine": "diagnosis-lifecycle",
        "SubjectTableName": "IndividualPredictions",
        "SubjectId": "pred-c",
        "FromStateKey": "Intake",
        "ToStateKey": "EvidenceAssessed",
        "TransitionAt": "2026-06-02T09:00:00Z",
        "TriggeredByRole": "system",
        "Reason": "Intake → EvidenceAssessed.",
        "CreatedBy": "build-seed",
        "ModifiedBy": "build-seed",
        "Name": "st-c-02-intake-to-evidenceassessed",
        "RelativePath": "/admin/state-machine/transitions/st-c-02-intake-to-evidenceassessed",
        "IsForward": true,
        "CreatedAt": null,
        "ModifiedAt": null,
        "ModifiedByModel": null
      },
      {
        "StateTransitionId": "st-c-03-evidenceassessed-to-notactionable",
        "StateMachine": "diagnosis-lifecycle",
        "SubjectTableName": "IndividualPredictions",
        "SubjectId": "pred-c",
        "FromStateKey": "EvidenceAssessed",
        "ToStateKey": "NotActionable",
        "TransitionAt": "2026-06-03T09:00:00Z",
        "TriggeredByRole": "system",
        "Reason": "spurious mechanism.",
        "CreatedBy": "build-seed",
        "ModifiedBy": "build-seed",
        "Name": "st-c-03-evidenceassessed-to-notactionable",
        "RelativePath": "/admin/state-machine/transitions/st-c-03-evidenceassessed-to-notactionable",
        "IsForward": true,
        "CreatedAt": null,
        "ModifiedAt": null,
        "ModifiedByModel": null
      },
      {
        "StateTransitionId": "st-d-02-intake-to-evidenceassessed",
        "StateMachine": "diagnosis-lifecycle",
        "SubjectTableName": "IndividualPredictions",
        "SubjectId": "pred-d",
        "FromStateKey": "Intake",
        "ToStateKey": "EvidenceAssessed",
        "TransitionAt": "2026-06-02T09:00:00Z",
        "TriggeredByRole": "system",
        "Reason": "Intake → EvidenceAssessed.",
        "CreatedBy": "build-seed",
        "ModifiedBy": "build-seed",
        "Name": "st-d-02-intake-to-evidenceassessed",
        "RelativePath": "/admin/state-machine/transitions/st-d-02-intake-to-evidenceassessed",
        "IsForward": true,
        "CreatedAt": null,
        "ModifiedAt": null,
        "ModifiedByModel": null
      },
      {
        "StateTransitionId": "st-d-03-evidenceassessed-to-mechanismconfirmed",
        "StateMachine": "diagnosis-lifecycle",
        "SubjectTableName": "IndividualPredictions",
        "SubjectId": "pred-d",
        "FromStateKey": "EvidenceAssessed",
        "ToStateKey": "MechanismConfirmed",
        "TransitionAt": "2026-06-03T09:00:00Z",
        "TriggeredByRole": "system",
        "Reason": "EvidenceAssessed → MechanismConfirmed.",
        "CreatedBy": "build-seed",
        "ModifiedBy": "build-seed",
        "Name": "st-d-03-evidenceassessed-to-mechanismconfirmed",
        "RelativePath": "/admin/state-machine/transitions/st-d-03-evidenceassessed-to-mechanismconfirmed",
        "IsForward": true,
        "CreatedAt": null,
        "ModifiedAt": null,
        "ModifiedByModel": null
      },
      {
        "StateTransitionId": "st-d-04-mechanismconfirmed-to-notactionable",
        "StateMachine": "diagnosis-lifecycle",
        "SubjectTableName": "IndividualPredictions",
        "SubjectId": "pred-d",
        "FromStateKey": "MechanismConfirmed",
        "ToStateKey": "NotActionable",
        "TransitionAt": "2026-06-04T09:00:00Z",
        "TriggeredByRole": "system",
        "Reason": "cryptic relatedness.",
        "CreatedBy": "build-seed",
        "ModifiedBy": "build-seed",
        "Name": "st-d-04-mechanismconfirmed-to-notactionable",
        "RelativePath": "/admin/state-machine/transitions/st-d-04-mechanismconfirmed-to-notactionable",
        "IsForward": true,
        "CreatedAt": null,
        "ModifiedAt": null,
        "ModifiedByModel": null
      },
      {
        "StateTransitionId": "st-e-02-intake-to-evidenceassessed",
        "StateMachine": "diagnosis-lifecycle",
        "SubjectTableName": "IndividualPredictions",
        "SubjectId": "pred-e",
        "FromStateKey": "Intake",
        "ToStateKey": "EvidenceAssessed",
        "TransitionAt": "2026-06-02T09:00:00Z",
        "TriggeredByRole": "system",
        "Reason": "Intake → EvidenceAssessed.",
        "CreatedBy": "build-seed",
        "ModifiedBy": "build-seed",
        "Name": "st-e-02-intake-to-evidenceassessed",
        "RelativePath": "/admin/state-machine/transitions/st-e-02-intake-to-evidenceassessed",
        "IsForward": true,
        "CreatedAt": null,
        "ModifiedAt": null,
        "ModifiedByModel": null
      },
      {
        "StateTransitionId": "st-e-03-evidenceassessed-to-notactionable",
        "StateMachine": "diagnosis-lifecycle",
        "SubjectTableName": "IndividualPredictions",
        "SubjectId": "pred-e",
        "FromStateKey": "EvidenceAssessed",
        "ToStateKey": "NotActionable",
        "TransitionAt": "2026-06-03T09:00:00Z",
        "TriggeredByRole": "system",
        "Reason": "falsifiability gate fails.",
        "CreatedBy": "build-seed",
        "ModifiedBy": "build-seed",
        "Name": "st-e-03-evidenceassessed-to-notactionable",
        "RelativePath": "/admin/state-machine/transitions/st-e-03-evidenceassessed-to-notactionable",
        "IsForward": true,
        "CreatedAt": null,
        "ModifiedAt": null,
        "ModifiedByModel": null
      },
      {
        "StateTransitionId": "st-f-02-intake-to-evidenceassessed",
        "StateMachine": "diagnosis-lifecycle",
        "SubjectTableName": "IndividualPredictions",
        "SubjectId": "pred-f",
        "FromStateKey": "Intake",
        "ToStateKey": "EvidenceAssessed",
        "TransitionAt": "2026-06-02T09:00:00Z",
        "TriggeredByRole": "system",
        "Reason": "Intake → EvidenceAssessed.",
        "CreatedBy": "build-seed",
        "ModifiedBy": "build-seed",
        "Name": "st-f-02-intake-to-evidenceassessed",
        "RelativePath": "/admin/state-machine/transitions/st-f-02-intake-to-evidenceassessed",
        "IsForward": true,
        "CreatedAt": null,
        "ModifiedAt": null,
        "ModifiedByModel": null
      },
      {
        "StateTransitionId": "st-f-03-evidenceassessed-to-mechanismconfirmed",
        "StateMachine": "diagnosis-lifecycle",
        "SubjectTableName": "IndividualPredictions",
        "SubjectId": "pred-f",
        "FromStateKey": "EvidenceAssessed",
        "ToStateKey": "MechanismConfirmed",
        "TransitionAt": "2026-06-03T09:00:00Z",
        "TriggeredByRole": "system",
        "Reason": "EvidenceAssessed → MechanismConfirmed.",
        "CreatedBy": "build-seed",
        "ModifiedBy": "build-seed",
        "Name": "st-f-03-evidenceassessed-to-mechanismconfirmed",
        "RelativePath": "/admin/state-machine/transitions/st-f-03-evidenceassessed-to-mechanismconfirmed",
        "IsForward": true,
        "CreatedAt": null,
        "ModifiedAt": null,
        "ModifiedByModel": null
      },
      {
        "StateTransitionId": "st-f-04-mechanismconfirmed-to-calibrationchecked",
        "StateMachine": "diagnosis-lifecycle",
        "SubjectTableName": "IndividualPredictions",
        "SubjectId": "pred-f",
        "FromStateKey": "MechanismConfirmed",
        "ToStateKey": "CalibrationChecked",
        "TransitionAt": "2026-06-04T09:00:00Z",
        "TriggeredByRole": "system",
        "Reason": "MechanismConfirmed → CalibrationChecked.",
        "CreatedBy": "build-seed",
        "ModifiedBy": "build-seed",
        "Name": "st-f-04-mechanismconfirmed-to-calibrationchecked",
        "RelativePath": "/admin/state-machine/transitions/st-f-04-mechanismconfirmed-to-calibrationchecked",
        "IsForward": true,
        "CreatedAt": null,
        "ModifiedAt": null,
        "ModifiedByModel": null
      },
      {
        "StateTransitionId": "st-f-05-calibrationchecked-to-transportchecked",
        "StateMachine": "diagnosis-lifecycle",
        "SubjectTableName": "IndividualPredictions",
        "SubjectId": "pred-f",
        "FromStateKey": "CalibrationChecked",
        "ToStateKey": "TransportChecked",
        "TransitionAt": "2026-06-05T09:00:00Z",
        "TriggeredByRole": "system",
        "Reason": "CalibrationChecked → TransportChecked.",
        "CreatedBy": "build-seed",
        "ModifiedBy": "build-seed",
        "Name": "st-f-05-calibrationchecked-to-transportchecked",
        "RelativePath": "/admin/state-machine/transitions/st-f-05-calibrationchecked-to-transportchecked",
        "IsForward": true,
        "CreatedAt": null,
        "ModifiedAt": null,
        "ModifiedByModel": null
      },
      {
        "StateTransitionId": "st-f-06-transportchecked-to-notactionable",
        "StateMachine": "diagnosis-lifecycle",
        "SubjectTableName": "IndividualPredictions",
        "SubjectId": "pred-f",
        "FromStateKey": "TransportChecked",
        "ToStateKey": "NotActionable",
        "TransitionAt": "2026-06-06T09:00:00Z",
        "TriggeredByRole": "system",
        "Reason": "ancestry-transport gate fails.",
        "CreatedBy": "build-seed",
        "ModifiedBy": "build-seed",
        "Name": "st-f-06-transportchecked-to-notactionable",
        "RelativePath": "/admin/state-machine/transitions/st-f-06-transportchecked-to-notactionable",
        "IsForward": true,
        "CreatedAt": null,
        "ModifiedAt": null,
        "ModifiedByModel": null
      },
      {
        "StateTransitionId": "st-g-02-intake-to-evidenceassessed",
        "StateMachine": "diagnosis-lifecycle",
        "SubjectTableName": "IndividualPredictions",
        "SubjectId": "pred-g",
        "FromStateKey": "Intake",
        "ToStateKey": "EvidenceAssessed",
        "TransitionAt": "2026-06-02T09:00:00Z",
        "TriggeredByRole": "system",
        "Reason": "Intake → EvidenceAssessed.",
        "CreatedBy": "build-seed",
        "ModifiedBy": "build-seed",
        "Name": "st-g-02-intake-to-evidenceassessed",
        "RelativePath": "/admin/state-machine/transitions/st-g-02-intake-to-evidenceassessed",
        "IsForward": true,
        "CreatedAt": null,
        "ModifiedAt": null,
        "ModifiedByModel": null
      },
      {
        "StateTransitionId": "st-g-03-evidenceassessed-to-mechanismconfirmed",
        "StateMachine": "diagnosis-lifecycle",
        "SubjectTableName": "IndividualPredictions",
        "SubjectId": "pred-g",
        "FromStateKey": "EvidenceAssessed",
        "ToStateKey": "MechanismConfirmed",
        "TransitionAt": "2026-06-03T09:00:00Z",
        "TriggeredByRole": "system",
        "Reason": "EvidenceAssessed → MechanismConfirmed.",
        "CreatedBy": "build-seed",
        "ModifiedBy": "build-seed",
        "Name": "st-g-03-evidenceassessed-to-mechanismconfirmed",
        "RelativePath": "/admin/state-machine/transitions/st-g-03-evidenceassessed-to-mechanismconfirmed",
        "IsForward": true,
        "CreatedAt": null,
        "ModifiedAt": null,
        "ModifiedByModel": null
      },
      {
        "StateTransitionId": "st-g-04-mechanismconfirmed-to-calibrationchecked",
        "StateMachine": "diagnosis-lifecycle",
        "SubjectTableName": "IndividualPredictions",
        "SubjectId": "pred-g",
        "FromStateKey": "MechanismConfirmed",
        "ToStateKey": "CalibrationChecked",
        "TransitionAt": "2026-06-04T09:00:00Z",
        "TriggeredByRole": "system",
        "Reason": "MechanismConfirmed → CalibrationChecked.",
        "CreatedBy": "build-seed",
        "ModifiedBy": "build-seed",
        "Name": "st-g-04-mechanismconfirmed-to-calibrationchecked",
        "RelativePath": "/admin/state-machine/transitions/st-g-04-mechanismconfirmed-to-calibrationchecked",
        "IsForward": true,
        "CreatedAt": null,
        "ModifiedAt": null,
        "ModifiedByModel": null
      },
      {
        "StateTransitionId": "st-g-05-calibrationchecked-to-transportchecked",
        "StateMachine": "diagnosis-lifecycle",
        "SubjectTableName": "IndividualPredictions",
        "SubjectId": "pred-g",
        "FromStateKey": "CalibrationChecked",
        "ToStateKey": "TransportChecked",
        "TransitionAt": "2026-06-05T09:00:00Z",
        "TriggeredByRole": "system",
        "Reason": "CalibrationChecked → TransportChecked.",
        "CreatedBy": "build-seed",
        "ModifiedBy": "build-seed",
        "Name": "st-g-05-calibrationchecked-to-transportchecked",
        "RelativePath": "/admin/state-machine/transitions/st-g-05-calibrationchecked-to-transportchecked",
        "IsForward": true,
        "CreatedAt": null,
        "ModifiedAt": null,
        "ModifiedByModel": null
      },
      {
        "StateTransitionId": "st-g-06-transportchecked-to-actionable",
        "StateMachine": "diagnosis-lifecycle",
        "SubjectTableName": "IndividualPredictions",
        "SubjectId": "pred-g",
        "FromStateKey": "TransportChecked",
        "ToStateKey": "Actionable",
        "TransitionAt": "2026-06-06T09:00:00Z",
        "TriggeredByRole": "system",
        "Reason": "transport passes — actionable despite holdout.",
        "CreatedBy": "build-seed",
        "ModifiedBy": "build-seed",
        "Name": "st-g-06-transportchecked-to-actionable",
        "RelativePath": "/admin/state-machine/transitions/st-g-06-transportchecked-to-actionable",
        "IsForward": true,
        "CreatedAt": nul</t>
  </si>
  <si>
    <t xml:space="preserve">l,
        "ModifiedAt": null,
        "ModifiedByModel": null
      },
      {
        "StateTransitionId": "st-ind-a-reyes-presymptomaticautoimmunity-1",
        "Name": "st-ind-a-reyes-presymptomaticautoimmunity-1",
        "RelativePath": "/admin/state-machine/transitions/st-ind-a-reyes-presymptomaticautoimmunity-1",
        "StateMachine": "lupus-nephritis-progression",
        "SubjectTableName": "Individuals",
        "SubjectId": "ind-a-reyes",
        "FromStateKey": null,
        "ToStateKey": "PresymptomaticAutoimmunity",
        "TransitionAt": "2025-09-01T00:00:00Z",
        "TriggeredByRole": "system",
        "Reason": "Serology-derived transition to PresymptomaticAutoimmunity",
        "CreatedBy": "v2-step3",
        "CreatedAt": "2026-06-20T00:00:00Z",
        "ModifiedBy": "v2-step3",
        "ModifiedAt": "2026-06-20T00:00:00Z",
        "ModifiedByModel": "claude-opus-4-8",
        "IsForward": true
      },
      {
        "StateTransitionId": "st-ind-a-reyes-serologicactive-2",
        "Name": "st-ind-a-reyes-serologicactive-2",
        "RelativePath": "/admin/state-machine/transitions/st-ind-a-reyes-serologicactive-2",
        "StateMachine": "lupus-nephritis-progression",
        "SubjectTableName": "Individuals",
        "SubjectId": "ind-a-reyes",
        "FromStateKey": "PresymptomaticAutoimmunity",
        "ToStateKey": "SerologicActive",
        "TransitionAt": "2025-12-01T00:00:00Z",
        "TriggeredByRole": "system",
        "Reason": "Serology-derived transition to SerologicActive",
        "CreatedBy": "v2-step3",
        "CreatedAt": "2026-06-20T00:00:00Z",
        "ModifiedBy": "v2-step3",
        "ModifiedAt": "2026-06-20T00:00:00Z",
        "ModifiedByModel": "claude-opus-4-8",
        "IsForward": true
      },
      {
        "StateTransitionId": "st-ind-b-okafor-presymptomaticautoimmunity-1",
        "Name": "st-ind-b-okafor-presymptomaticautoimmunity-1",
        "RelativePath": "/admin/state-machine/transitions/st-ind-b-okafor-presymptomaticautoimmunity-1",
        "StateMachine": "lupus-nephritis-progression",
        "SubjectTableName": "Individuals",
        "SubjectId": "ind-b-okafor",
        "FromStateKey": null,
        "ToStateKey": "PresymptomaticAutoimmunity",
        "TransitionAt": "2025-08-15T00:00:00Z",
        "TriggeredByRole": "system",
        "Reason": "Serology-derived transition to PresymptomaticAutoimmunity",
        "CreatedBy": "v2-step3",
        "CreatedAt": "2026-06-20T00:00:00Z",
        "ModifiedBy": "v2-step3",
        "ModifiedAt": "2026-06-20T00:00:00Z",
        "ModifiedByModel": "claude-opus-4-8",
        "IsForward": true
      },
      {
        "StateTransitionId": "st-ind-c-chen-presymptomaticautoimmunity-1",
        "Name": "st-ind-c-chen-presymptomaticautoimmunity-1",
        "RelativePath": "/admin/state-machine/transitions/st-ind-c-chen-presymptomaticautoimmunity-1",
        "StateMachine": "lupus-nephritis-progression",
        "SubjectTableName": "Individuals",
        "SubjectId": "ind-c-chen",
        "FromStateKey": null,
        "ToStateKey": "PresymptomaticAutoimmunity",
        "TransitionAt": "2025-07-01T00:00:00Z",
        "TriggeredByRole": "system",
        "Reason": "Serology-derived transition to PresymptomaticAutoimmunity",
        "CreatedBy": "v2-step3",
        "CreatedAt": "2026-06-20T00:00:00Z",
        "ModifiedBy": "v2-step3",
        "ModifiedAt": "2026-06-20T00:00:00Z",
        "ModifiedByModel": "claude-opus-4-8",
        "IsForward": true
      },
      {
        "StateTransitionId": "st-ind-c-chen-serologicactive-2",
        "Name": "st-ind-c-chen-serologicactive-2",
        "RelativePath": "/admin/state-machine/transitions/st-ind-c-chen-serologicactive-2",
        "StateMachine": "lupus-nephritis-progression",
        "SubjectTableName": "Individuals",
        "SubjectId": "ind-c-chen",
        "FromStateKey": "PresymptomaticAutoimmunity",
        "ToStateKey": "SerologicActive",
        "TransitionAt": "2025-10-01T00:00:00Z",
        "TriggeredByRole": "system",
        "Reason": "Serology-derived transition to SerologicActive",
        "CreatedBy": "v2-step3",
        "CreatedAt": "2026-06-20T00:00:00Z",
        "ModifiedBy": "v2-step3",
        "ModifiedAt": "2026-06-20T00:00:00Z",
        "ModifiedByModel": "claude-opus-4-8",
        "IsForward": true
      },
      {
        "StateTransitionId": "st-ind-d-santos-presymptomaticautoimmunity-1",
        "Name": "st-ind-d-santos-presymptomaticautoimmunity-1",
        "RelativePath": "/admin/state-machine/transitions/st-ind-d-santos-presymptomaticautoimmunity-1",
        "StateMachine": "lupus-nephritis-progression",
        "SubjectTableName": "Individuals",
        "SubjectId": "ind-d-santos",
        "FromStateKey": null,
        "ToStateKey": "PresymptomaticAutoimmunity",
        "TransitionAt": "2025-06-01T00:00:00Z",
        "TriggeredByRole": "system",
        "Reason": "Serology-derived transition to PresymptomaticAutoimmunity",
        "CreatedBy": "v2-step3",
        "CreatedAt": "2026-06-20T00:00:00Z",
        "ModifiedBy": "v2-step3",
        "ModifiedAt": "2026-06-20T00:00:00Z",
        "ModifiedByModel": "claude-opus-4-8",
        "IsForward": true
      },
      {
        "StateTransitionId": "st-ind-d-santos-renalflarerisk-2",
        "Name": "st-ind-d-santos-renalflarerisk-2",
        "RelativePath": "/admin/state-machine/transitions/st-ind-d-santos-renalflarerisk-2",
        "StateMachine": "lupus-nephritis-progression",
        "SubjectTableName": "Individuals",
        "SubjectId": "ind-d-santos",
        "FromStateKey": "PresymptomaticAutoimmunity",
        "ToStateKey": "RenalFlareRisk",
        "TransitionAt": "2025-09-01T00:00:00Z",
        "TriggeredByRole": "system",
        "Reason": "Serology-derived transition to RenalFlareRisk",
        "CreatedBy": "v2-step3",
        "CreatedAt": "2026-06-20T00:00:00Z",
        "ModifiedBy": "v2-step3",
        "ModifiedAt": "2026-06-20T00:00:00Z",
        "ModifiedByModel": "claude-opus-4-8",
        "IsForward": true
      },
      {
        "StateTransitionId": "st-ind-d-santos-biopsyindicated-3",
        "Name": "st-ind-d-santos-biopsyindicated-3",
        "RelativePath": "/admin/state-machine/transitions/st-ind-d-santos-biopsyindicated-3",
        "StateMachine": "lupus-nephritis-progression",
        "SubjectTableName": "Individuals",
        "SubjectId": "ind-d-santos",
        "FromStateKey": "RenalFlareRisk",
        "ToStateKey": "BiopsyIndicated",
        "TransitionAt": "2025-12-01T00:00:00Z",
        "TriggeredByRole": "system",
        "Reason": "Serology-derived transition to BiopsyIndicated",
        "CreatedBy": "v2-step3",
        "CreatedAt": "2026-06-20T00:00:00Z",
        "ModifiedBy": "v2-step3",
        "ModifiedAt": "2026-06-20T00:00:00Z",
        "ModifiedByModel": "claude-opus-4-8",
        "IsForward": true
      },
      {
        "StateTransitionId": "st-ind-e-mensah-presymptomaticautoimmunity-1",
        "Name": "st-ind-e-mensah-presymptomaticautoimmunity-1",
        "RelativePath": "/admin/state-machine/transitions/st-ind-e-mensah-presymptomaticautoimmunity-1",
        "StateMachine": "lupus-nephritis-progression",
        "SubjectTableName": "Individuals",
        "SubjectId": "ind-e-mensah",
        "FromStateKey": null,
        "ToStateKey": "PresymptomaticAutoimmunity",
        "TransitionAt": "2025-08-01T00:00:00Z",
        "TriggeredByRole": "system",
        "Reason": "Serology-derived transition to PresymptomaticAutoimmunity",
        "CreatedBy": "v2-step3",
        "CreatedAt": "2026-06-20T00:00:00Z",
        "ModifiedBy": "v2-step3",
        "ModifiedAt": "2026-06-20T00:00:00Z",
        "ModifiedByModel": "claude-opus-4-8",
        "IsForward": true
      },
      {
        "StateTransitionId": "st-ind-f-haidar-presymptomaticautoimmunity-1",
        "Name": "st-ind-f-haidar-presymptomaticautoimmunity-1",
        "RelativePath": "/admin/state-machine/transitions/st-ind-f-haidar-presymptomaticautoimmunity-1",
        "StateMachine": "lupus-nephritis-progression",
        "SubjectTableName": "Individuals",
        "SubjectId": "ind-f-haidar",
        "FromStateKey": null,
        "ToStateKey": "PresymptomaticAutoimmunity",
        "TransitionAt": "2025-09-10T00:00:00Z",
        "TriggeredByRole": "system",
        "Reason": "Serology-derived transition to PresymptomaticAutoimmunity",
        "CreatedBy": "v2-step3",
        "CreatedAt": "2026-06-20T00:00:00Z",
        "ModifiedBy": "v2-step3",
        "ModifiedAt": "2026-06-20T00:00:00Z",
        "ModifiedByModel": "claude-opus-4-8",
        "IsForward": true
      },
      {
        "StateTransitionId": "st-ind-g-lin-presymptomaticautoimmunity-1",
        "Name": "st-ind-g-lin-presymptomaticautoimmunity-1",
        "RelativePath": "/admin/state-machine/transitions/st-ind-g-lin-presymptomaticautoimmunity-1",
        "StateMachine": "lupus-nephritis-progression",
        "SubjectTableName": "Individuals",
        "SubjectId": "ind-g-lin",
        "FromStateKey": null,
        "ToStateKey": "PresymptomaticAutoimmunity",
        "TransitionAt": "2025-09-05T00:00:00Z",
        "TriggeredByRole": "system",
        "Reason": "Serology-derived transition to PresymptomaticAutoimmunity",
        "CreatedBy": "v2-step3",
        "CreatedAt": "2026-06-20T00:00:00Z",
        "ModifiedBy": "v2-step3",
        "ModifiedAt": "2026-06-20T00:00:00Z",
        "ModifiedByModel": "claude-opus-4-8",
        "IsForward": true
      },
      {
        "StateTransitionId": "st-ind-h-yamamoto-presymptomaticautoimmunity-1",
        "Name": "st-ind-h-yamamoto-presymptomaticautoimmunity-1",
        "RelativePath": "/admin/state-machine/transitions/st-ind-h-yamamoto-presymptomaticautoimmunity-1",
        "StateMachine": "lupus-nephritis-progression",
        "SubjectTableName": "Individuals",
        "SubjectId": "ind-h-yamamoto",
        "FromStateKey": null,
        "ToStateKey": "PresymptomaticAutoimmunity",
        "TransitionAt": "2025-07-20T00:00:00Z",
        "TriggeredByRole": "system",
        "Reason": "Serology-derived transition to PresymptomaticAutoimmunity",
        "CreatedBy": "v2-step3",
        "CreatedAt": "2026-06-20T00:00:00Z",
        "ModifiedBy": "v2-step3",
        "ModifiedAt": "2026-06-20T00:00:00Z",
        "ModifiedByModel": "claude-opus-4-8",
        "IsForward": true
      },
      {
        "StateTransitionId": "st-ind-h-yamamoto-earlynephritis-2",
        "Name": "st-ind-h-yamamoto-earlynephritis-2",
        "RelativePath": "/admin/state-machine/transitions/st-ind-h-yamamoto-earlynephritis-2",
        "StateMachine": "lupus-nephritis-progression",
        "SubjectTableName": "Individuals",
        "SubjectId": "ind-h-yamamoto",
        "FromStateKey": "PresymptomaticAutoimmunity",
        "ToStateKey": "EarlyNephritis",
        "TransitionAt": "2025-10-20T00:00:00Z",
        "TriggeredByRole": "system",
        "Reason": "Serology-derived transition to EarlyNephritis",
        "CreatedBy": "v2-step3",
        "CreatedAt": "2026-06-20T00:00:00Z",
        "ModifiedBy": "v2-step3",
        "ModifiedAt": "2026-06-20T00:00:00Z",
        "ModifiedByModel": "claude-opus-4-8",
        "IsForward": true
      },
      {
        "StateTransitionId": "st-pred-h-intake-1",
        "Name": "st-pred-h-intake-1",
        "RelativePath": "/admin/state-machine/transitions/st-pred-h-intake-1",
        "StateMachine": "diagnosis-lifecycle",
        "SubjectTableName": "IndividualPredictions",
        "SubjectId": "pred-h",
        "FromStateKey": null,
        "ToStateKey": "Intake",
        "TransitionAt": "2026-06-02T09:00:00Z",
        "TriggeredByRole": "system",
        "Reason": "Lifecycle transition to Intake",
        "CreatedBy": "v2-step10",
        "CreatedAt": "2026-06-20T00:00:00Z",
        "ModifiedBy": "v2-step10",
        "ModifiedAt": "2026-06-20T00:00:00Z",
        "ModifiedByModel": "claude-opus-4-8",
        "IsForward": false
      },
      {
        "StateTransitionId": "st-pred-h-evidenceassessed-2",
        "Name": "st-pred-h-evidenceassessed-2",
        "RelativePath": "/admin/state-machine/transitions/st-pred-h-evidenceassessed-2",
        "StateMachine": "diagnosis-lifecycle",
        "SubjectTableName": "IndividualPredictions",
        "SubjectId": "pred-h",
        "FromStateKey": "Intake",
        "ToStateKey": "EvidenceAssessed",
        "TransitionAt": "2026-06-03T09:00:00Z",
        "TriggeredByRole": "system",
        "Reason": "Lifecycle transition to EvidenceAssessed",
        "CreatedBy": "v2-step10",
        "CreatedAt": "2026-06-20T00:00:00Z",
        "ModifiedBy": "v2-step10",
        "ModifiedAt": "2026-06-20T00:00:00Z",
        "ModifiedByModel": "claude-opus-4-8",
        "IsForward": true
      },
      {
        "StateTransitionId": "st-pred-h-mechanismconfirmed-3",
        "Name": "st-pred-h-mechanismconfirmed-3",
        "RelativePath": "/admin/state-machine/transitions/st-pred-h-mechanismconfirmed-3",
        "StateMachine": "diagnosis-lifecycle",
        "SubjectTableName": "IndividualPredictions",
        "SubjectId": "pred-h",
        "FromStateKey": "EvidenceAssessed",
        "ToStateKey": "MechanismConfirmed",
        "TransitionAt": "2026-06-04T09:00:00Z",
        "TriggeredByRole": "system",
        "Reason": "Lifecycle transition to MechanismConfirmed",
        "CreatedBy": "v2-step10",
        "CreatedAt": "2026-06-20T00:00:00Z",
        "ModifiedBy": "v2-step10",
        "ModifiedAt": "2026-06-20T00:00:00Z",
        "ModifiedByModel": "claude-opus-4-8",
        "IsForward": true
      },
      {
        "StateTransitionId": "st-pred-h-calibrationchecked-4",
        "Name": "st-pred-h-calibrationchecked-4",
        "RelativePath": "/admin/state-machine/transitions/st-pred-h-calibrationchecked-4",
        "StateMachine": "diagnosis-lifecycle",
        "SubjectTableName": "IndividualPredictions",
        "SubjectId": "pred-h",
        "FromStateKey": "MechanismConfirmed",
        "ToStateKey": "CalibrationChecked",
        "TransitionAt": "2026-06-05T09:00:00Z",
        "TriggeredByRole": "system",
        "Reason": "Lifecycle transition to CalibrationChecked",
        "CreatedBy": "v2-step10",
        "CreatedAt": "2026-06-20T00:00:00Z",
        "ModifiedBy": "v2-step10",
        "ModifiedAt": "2026-06-20T00:00:00Z",
        "ModifiedByModel": "claude-opus-4-8",
        "IsForward": true
      },
      {
        "StateTransitionId": "st-pred-h-transportchecked-5",
        "Name": "st-pred-h-transportchecked-5",
        "RelativePath": "/admin/state-machine/transitions/st-pred-h-transportchecked-5",
        "StateMachine": "diagnosis-lifecycle",
        "SubjectTableName": "IndividualPredictions",
        "SubjectId": "pred-h",
        "FromStateKey": "CalibrationChecked",
        "ToStateKey": "TransportChecked",
        "TransitionAt": "2026-06-06T09:00:00Z",
        "TriggeredByRole": "system",
        "Reason": "Lifecycle transition to TransportChecked",
        "CreatedBy": "v2-step10",
        "CreatedAt": "2026-06-20T00:00:00Z",
        "ModifiedBy": "v2-step10",
        "ModifiedAt": "2026-06-20T00:00:00Z",
        "ModifiedByModel": "claude-opus-4-8",
        "IsForward": true
      },
      {
        "StateTransitionId": "st-pred-h-actionable-6",
        "Name": "st-pred-h-actionable-6",
        "RelativePath": "/admin/state-machine/transitions/st-pred-h-actionable-6",
        "StateMachine": "diagnosis-lifecycle",
        "SubjectTableName": "IndividualPredictions",
        "SubjectId": "pred-h",
        "FromStateKey": "TransportChecked",
        "ToStateKey": "Actionable",
        "TransitionAt": "2026-06-07T09:00:00Z",
        "TriggeredByRole": "system",
        "Reason": "Lifecycle transition to Actionable",
        "CreatedBy": "v2-step10",
        "CreatedAt": "2026-06-20T00:00:00Z",
        "ModifiedBy": "v2-step10",
        "ModifiedAt": "2026-06-20T00:00:00Z",
        "ModifiedByModel": "claude-opus-4-8",
        "IsForward": true
      },
      {
        "StateTransitionId": "st-ind-i-conteh-earlynephritis-1",
        "Name": "st-ind-i-conteh-earlynephritis-1",
        "RelativePath": "/admin/state-machine/transitions/st-ind-i-conteh-earlynephritis-1",
        "StateMachine": "lupus-nephritis-progression",
        "SubjectTableName": "Individuals",
        "SubjectId": "ind-i-conteh",
        "FromStateKey": null,
        "ToStateKey": "EarlyNephritis",
        "TransitionAt": "2025-06-15T00:00:00Z",
        "TriggeredByRole": "system",
        "Reason": "Serology-derived transition to EarlyNephritis",
        "CreatedBy": "v2-step3",
        "CreatedAt": "2026-06-20T00:00:00Z",
        "ModifiedBy": "v2-step3",
        "ModifiedAt": "2026-06-20T00:00:00Z",
        "ModifiedByModel": "claude-opus-4-8",
        "IsForward": true
      },
      {
        "StateTransitionId": "st-ind-i-conteh-renalflarerisk-2",
        "Name": "st-ind-i-conteh-renalflarerisk-2",
        "RelativePath": "/admin/state-machine/transitions/st-ind-i-conteh-renalflarerisk-2",
        "StateMachine": "lupus-nephritis-progression",
        "SubjectTableName": "Individuals",
        "SubjectId": "ind-i-conteh",
        "FromStateKey": "EarlyNephritis",
        "ToStateKey": "RenalFlareRisk",
        "TransitionAt": "2025-09-15T00:00:00Z",
        "TriggeredByRole": "system",
        "Reason": "Serology-derived transition to RenalFlareRisk",
        "CreatedBy": "v2-step3",
        "CreatedAt": "2026-06-20T00:00:00Z",
        "ModifiedBy": "v2-step3",
        "ModifiedAt": "2026-06-20T00:00:00Z",
        "ModifiedByModel": "claude-opus-4-8",
        "IsForward": true
      },
      {
        "StateTransitionId": "st-pred-i-intake-1",
        "Name": "st-pred-i-intake-1",
        "RelativePath": "/admin/state-machine/transitions/st-pred-i-intake-1",
        "StateMachine": "diagnosis-lifecycle",
        "SubjectTableName": "IndividualPredictions",
        "SubjectId": "pred-i",
        "FromStateKey": null,
        "ToStateKey": "Intake",
        "TransitionAt": "2026-06-02T09:00:00Z",
        "TriggeredByRole": "system",
        "Reason": "Lifecycle transition to Intake",
        "CreatedBy": "v2-step10",
        "CreatedAt": "2026-06-20T00:00:00Z",
        "ModifiedBy": "v2-step10",
        "ModifiedAt": "2026-06-20T00:00:00Z",
        "ModifiedByModel": "claude-opus-4-8",
        "IsForward": false
      },
      {
        "StateTransitionId": "st-pred-i-evidenceassessed-2",
        "Name": "st-pred-i-evidenceassessed-2",
        "RelativePath": "/admin/state-machine/transitions/st-pred-i-evidenceassessed-2",
        "StateMachine": "diagnosis-lifecycle",
        "SubjectTableName": "IndividualPredictions",
        "SubjectId": "pred-i",
        "FromStateKey": "Intake",
        "ToStateKey": "EvidenceAssessed",
        "TransitionAt": "2026-06-03T09:00:00Z",
        "TriggeredByRole": "system",
        "Reason": "Lifecycle transition to EvidenceAssessed",
        "CreatedBy": "v2-step10",
        "CreatedAt": "2026-06-20T00:00:00Z",
        "ModifiedBy": "v2-step10",
        "ModifiedAt": "2026-06-20T00:00:00Z",
        "ModifiedByModel": "claude-opus-4-8",
        "IsForward": true
      },
      {
        "StateTransitionId": "st-pred-i-mechanismconfirmed-3",
        "Name": "st-pred-i-mechanismconfirmed-3",
        "RelativePath": "/admin/state-machine/transitions/st-pred-i-mechanismconfirmed-3",
        "StateMachine": "diagnosis-lifecycle",
        "SubjectTableName": "IndividualPredictions",
        "SubjectId": "pred-i",
        "FromStateKey": "EvidenceAssessed",
        "ToStateKey": "MechanismConfirmed",
        "TransitionAt": "2026-06-04T09:00:00Z",
        "TriggeredByRole": "system",
        "Reason": "Lifecycle transition to MechanismConfirmed",
        "CreatedBy": "v2-step10",
        "CreatedAt": "2026-06-20T00:00:00Z",
        "ModifiedBy": "v2-step10",
        "ModifiedAt": "2026-06-20T00:00:00Z",
        "ModifiedByModel": "claude-opus-4-8",
        "IsForward": true
      },
      {
        "StateTransitionId": "st-pred-i-notactionable-4",
        "Name": "st-pred-i-notactionable-4",
        "RelativePath": "/admin/state-machine/transitions/st-pred-i-notactionable-4",
        "StateMachine": "diagnosis-lifecycle",
        "SubjectTableName": "IndividualPredictions",
        "SubjectId": "pred-i",
        "FromStateKey": "MechanismConfirmed",
        "ToStateKey": "NotActionable",
        "TransitionAt": "2026-06-05T09:00:00Z",
        "TriggeredByRole": "system",
        "Reason": "Lifecycle transition to NotActionable",
        "CreatedBy": "v2-step10",
        "CreatedAt": "2026-06-20T00:00:00Z",
        "ModifiedBy": "v2-step10",
        "ModifiedAt": "2026-06-20T00:00:00Z",
        "ModifiedByModel": "claude-opus-4-8",
        "IsForward": true
      },
      {
        "StateTransitionId": "st-ind-j-brooks-presymptomaticautoimmunity-1",
        "Name": "st-ind-j-brooks-presymptomaticautoimmunity-1",
        "RelativePath": "/admin/state-machine/transitions/st-ind-j-brooks-presymptomaticautoimmunity-1",
        "StateMachine": "lupus-nephritis-progression",
        "SubjectTableName": "Individuals",
        "SubjectId": "ind-j-brooks",
        "FromStateKey": null,
        "ToStateKey": "PresymptomaticAutoimmunity",
        "TransitionAt": "2025-08-01T00:00:00Z",
        "TriggeredByRole": "system",
        "Reason": "Serology-derived transition to PresymptomaticAutoimmunity",
        "CreatedBy": "v2-step10",
        "CreatedAt": "2026-06-20T00:00:00Z",
        "ModifiedBy": "v2-step10",
        "ModifiedAt": "2026-06-20T00:00:00Z",
        "ModifiedByModel": "claude-opus-4-8",
        "IsForward": true
      },
      {
        "StateTransitionId": "st-ind-j-brooks-serologicactive-2",
        "Name": "st-ind-j-brooks-serologicactive-2",
        "RelativePath": "/admin/state-machine/transitions/st-ind-j-brooks-serologicactive-2",
        "StateMachine": "lupus-nephritis-progression",
        "SubjectTableName": "Individuals",
        "SubjectId": "ind-j-brooks",
        "FromStateKey": "PresymptomaticAutoimmunity",
        "ToStateKey": "SerologicActive",
        "TransitionAt": "2025-11-01T00:00:00Z",
        "TriggeredByRole": "system",
        "Reason": "Serology-derived transition to SerologicActive",
        "CreatedBy": "v2-step10",
        "CreatedAt": "2026-06-20T00:00:00Z",
        "ModifiedBy": "v2-step10",
        "ModifiedAt": "2026-06-20T00:00:00Z",
        "ModifiedByModel": "claude-opus-4-8",
        "IsForward": true
      },
      {
        "StateTransitionId": "st-pred-j-intake-1",
        "Name": "st-pred-j-intake-1",
        "RelativePath": "/admin/state-machine/transitions/st-pred-j-intake-1",
        "StateMachine": "diagnosis-lifecycle",
        "SubjectTableName": "IndividualPredictions",
        "SubjectId": "pred-j",
        "FromStateKey": null,
        "ToStateKey": "Intake",
        "TransitionAt": "2026-06-02T09:00:00Z",
        "TriggeredByRole": "system",
        "Reason": "Lifecycle transition to Intake",
        "CreatedBy": "v2-step10",
        "CreatedAt": "2026-06-20T00:00:00Z",
        "ModifiedBy": "v2-step10",
        "ModifiedAt": "2026-06-20T00:00:00Z",
        "ModifiedByModel": "claude-opus-4-8",
        "IsForward": false
      },
      {
        "StateTransitionId": "st-pred-j-evidenceassessed-2",
        "Name": "st-pred-j-evidenceassessed-2",
        "RelativePath": "/admin/state-machine/transitions/st-pred-j-evidenceassessed-2",
        "StateMachine": "diagnosis-lifecycle",
        "SubjectTableName": "IndividualPredictions",
        "SubjectId": "pred-j",
        "FromStateKey": "Intake",
        "ToStateKey": "EvidenceAssessed",
        "TransitionAt": "2026-06-03T09:00:00Z",
        "TriggeredByRole": "system",
        "Reason": "Lifecycle transition to EvidenceAssessed",
        "CreatedBy": "v2-step10",
        "CreatedAt": "2026-06-20T00:00:00Z",
        "ModifiedBy": "v2-step10",
        "ModifiedAt": "2026-06-20T00:00:00Z",
        "ModifiedByModel": "claude-opus-4-8",
        "IsForward": true
      },
      {
        "StateTransitionId": "st-pred-j-mechanismconfirmed-3",
        "Name": "st-pred-j-mechanismconfirmed-3",
        "RelativePath": "/admin/state-machine/transitions/st-pred-j-mechanismconfirmed-3",
        "StateMachine": "diagnosis-lifecycle",
        "SubjectTableName": "IndividualPredictions",
        "SubjectId": "pred-j",
        "FromStateKey": "EvidenceAssessed",
        "ToStateKey": "MechanismConfirmed",
        "TransitionAt": "2026-06-04T09:00:00Z",
        "TriggeredByRole": "system",
        "Reason": "Lifecycle transition to MechanismConfirmed",
        "CreatedBy": "v2-step10",
        "CreatedAt": "2026-06-20T00:00:00Z",
        "ModifiedBy": "v2-step10",
        "ModifiedAt": "2026-06-20T00:00:00Z",
        "ModifiedByModel": "claude-opus-4-8",
        "IsForward": true
      },
      {
        "StateTransitionId": "st-pred-j-calibrationchecked-4",
        "Name": "st-pred-j-calibrationchecked-4",
        "RelativePath": "/admin/state-machine/transitions/st-pred-j-calibrationchecked-4",
        "StateMachine": "diagnosis-lifecycle",
        "SubjectTableName": "IndividualPredictions",
        "SubjectId": "pred-j",
        "FromStateKey": "MechanismConfirmed",
        "ToStateKey": "CalibrationChecked",
        "TransitionAt": "2026-06-05T09:00:00Z",
        "TriggeredByRole": "system",
        "Reason": "Lifecycle transition to CalibrationChecked",
        "CreatedBy": "v2-step10",
        "CreatedAt": "2026-06-20T00:00:00Z",
        "ModifiedBy": "v2-step10",
        "ModifiedAt": "2026-06-20T00:00:00Z",
        "ModifiedByModel": "claude-opus-4-8",
        "IsForward": true
      },
      {
        "StateTransitionId": "st-pred-j-notactionable-5",
        "Name": "st-pred-j-notactionable-5",
        "RelativePath": "/admin/state-machine/transitions/st-pred-j-notactionable-5",
        "StateMachine": "diagnosis-lifecycle",
        "SubjectTableName": "IndividualPredictions",
        "SubjectId": "pred-j",
        "FromStateKey": "CalibrationChecked",
        "ToStateKey": "NotActionable",
        "TransitionAt": "2026-06-06T09:00:00Z",
        "TriggeredByRole": "system",
        "Reason": "Lifecycle transition to NotActionable",
        "CreatedBy": "v2-step10",
        "CreatedAt": "2026-06-20T00:00:00Z",
        "ModifiedBy": "v2-step10",
        "ModifiedAt": "2026-06-20T00:00:00Z",
        "ModifiedByModel": "claude-opus-4-8",
        "IsForward": true
      },
      {
        "StateTransitionId": "st-ind-k-nair-presymptomaticautoimmunity-1",
        "Name": "st-ind-k-nair-presymptomaticautoimmunity-1",
        "RelativePath": "/admin/state-machine/transitions/st-ind-k-nair-presymptomaticautoimmunity-1",
        "StateMachine": "lupus-nephritis-progression",
        "SubjectTableName": "Individuals",
        "SubjectId": "ind-k-nair",
        "FromStateKey": null,
        "ToStateKey": "PresymptomaticAutoimmunity",
        "TransitionAt": "2025-07-05T00:00:00Z",
        "TriggeredByRole": "system",
        "Reason": "Serology-derived transition to PresymptomaticAutoimmunity",
        "CreatedBy": "v2-step10",
        "CreatedAt": "2026-06-20T00:00:00Z",
        "ModifiedBy": "v2-step10",
        "ModifiedAt": "2026-06-20T00:00:00Z",
        "ModifiedByModel": "claude-opus-4-8",
        "IsForward": true
      },
      {
        "StateTransitionId": "st-pred-k-intake-1",
        "Name": "st-pred-k-intake-1",
        "RelativePath": "/admin/state-machine/transitions/st-pred-k-intake-1",
        "StateMachine": "diagnosis-lifecycle",
        "SubjectTableName": "IndividualPredictions",
        "SubjectId": "pred-k",
        "FromStateKey": null,
        "ToStateKey": "Intake",
        "TransitionAt": "2026-06-02T09:00:00Z",
        "TriggeredByRole": "system",
        "Reason": "Lifecycle transition to Intake",
        "CreatedBy": "v2-step10",
        "CreatedAt": "2026-06-20T00:00:00Z",
        "ModifiedBy": "v2-step10",
        "ModifiedAt": "2026-06-20T00:00:00Z",
        "ModifiedByModel": "claude-opus-4-8",
        "IsForward": false
      },
      {
        "StateTransitionId": "st-pred-k-evidenceassessed-2",
        "Name": "st-pred-k-evidenceassessed-2",
        "RelativePath": "/admin/state-machine/transitions/st-pred-k-evidenceassessed-2",
        "StateMachine": "diagnosis-lifecycle",
        "SubjectTableName": "IndividualPredictions",
        "SubjectId": "pred-k",
        "FromStateKey": "Intake",
        "ToStateKey": "EvidenceAssessed",
        "TransitionAt": "2026-06-03T09:00:00Z",
        "TriggeredByRole": "system",
        "Reason": "Lifecycle transition to EvidenceAssessed",
        "CreatedBy": "v2-step10",
        "CreatedAt": "2026-06-20T00:00:00Z",
        "ModifiedBy": "v2-step10",
        "ModifiedAt": "2026-06-20T00:00:00Z",
        "ModifiedByModel": "claude-opus-4-8",
        "IsForward": true
      },
      {
        "StateTransitionId": "st-pred-k-mechanismconfirmed-3",
        "Name": "st-pred-k-mechanismconfirmed-3",
        "RelativePath": "/admin/state-machine/transitions/st-pred-k-mechanismconfirmed-3",
        "StateMachine": "diagnosis-lifecycle",
        "SubjectTableName": "IndividualPredictions",
        "SubjectId": "pred-k",
        "FromStateKey": "EvidenceAssessed",
        "ToStateKey": "MechanismConfirmed",
        "TransitionAt": "2026-06-04T09:00:00Z",
        "TriggeredByRole": "system",
        "Reason": "Lifecycle transition to MechanismConfirmed",
        "CreatedBy": "v2-step10",
        "CreatedAt": "2026-06-20T00:00:00Z",
        "ModifiedBy": "v2-step10",
        "ModifiedAt": "2026-06-20T00:00:00Z",
        "ModifiedByModel": "claude-opus-4-8",
        "IsForward": true
      },
      {
        "StateTransitionId": "st-pred-k-calibrationchecked-4",
        "Name": "st-pred-k-calibrationchecked-4",
        "RelativePath": "/admin/state-machine/transitions/st-pred-k-calibrationchecked-4",
        "StateMachine": "diagnosis-lifecycle",
        "SubjectTableName": "IndividualPredictions",
        "SubjectId": "pred-k",
        "FromStateKey": "MechanismConfirmed",
        "ToStateKey": "CalibrationChecked",
        "TransitionAt": "2026-06-05T09:00:00Z",
        "TriggeredByRole": "system",
        "Reason": "Lifecycle transition to CalibrationChecked",
        "CreatedBy": "v2-step10",
        "CreatedAt": "2026-06-20T00:00:00Z",
        "ModifiedBy": "v2-step10",
        "ModifiedAt": "2026-06-20T00:00:00Z",
        "ModifiedByModel": "claude-opus-4-8",
        "IsForward": true
      },
      {
        "StateTransitionId": "st-pred-k-transportchecked-5",
        "Name": "st-pred-k-transportchecked-5",
        "RelativePath": "/admin/state-machine/transitions/st-pred-k-transportchecked-5",
        "StateMachine": "diagnosis-lifecycle",
        "SubjectTableName": "IndividualPredictions",
        "SubjectId": "pred-k",
        "FromStateKey": "CalibrationChecked",
        "ToStateKey": "TransportChecked",
        "TransitionAt": "2026-06-06T09:00:00Z",
        "TriggeredByRole": "system",
        "Reason": "Lifecycle transition to TransportChecked",
        "CreatedBy": "v2-step10",
        "CreatedAt": "2026-06-20T00:00:00Z",
        "ModifiedBy": "v2-step10",
        "ModifiedAt": "2026-06-20T00:00:00Z",
        "ModifiedByModel": "claude-opus-4-8",
        "IsForward": true
      },
      {
        "StateTransitionId": "st-pred-k-notactionable-6",
        "Name": "st-pred-k-notactionable-6",
        "RelativePath": "/admin/state-machine/transitions/st-pred-k-notactionable-6",
        "StateMachine": "diagnosis-lifecycle",
        "SubjectTableName": "IndividualPredictions",
        "SubjectId": "pred-k",
        "FromStateKey": "TransportChecked",
        "ToStateKey": "NotActionable",
        "TransitionAt": "2026-06-07T09:00:00Z",
        "TriggeredByRole": "system",
        "Reason": "Lifecycle transition to NotActionable",
        "CreatedBy": "v2-step10",
        "CreatedAt": "2026-06-20T00:00:00Z",
        "ModifiedBy": "v2-step10",
        "ModifiedAt": "2026-06-20T00:00:00Z",
        "ModifiedByModel": "claude-opus-4-8",
        "IsForward": true
      },
      {
        "StateTransitionId": "st-ind-l-brandt-presymptomaticautoimmunity-1",
        "Name": "st-ind-l-brandt-presymptomaticautoimmunity-1",
        "RelativePath": "/admin/state-machine/transitions/st-ind-l-brandt-presymptomaticautoimmunity-1",
        "StateMachine": "lupus-nephritis-progression",
        "SubjectTableName": "Individuals",
        "SubjectId": "ind-l-brandt",
        "FromStateKey": null,
        "ToStateKey": "PresymptomaticAutoimmunity",
        "TransitionAt": "2025-09-05T00:00:00Z",
        "TriggeredByRole": "system</t>
  </si>
  <si>
    <t xml:space="preserve">",
        "Reason": "Serology-derived transition to PresymptomaticAutoimmunity",
        "CreatedBy": "v2-step10",
        "CreatedAt": "2026-06-20T00:00:00Z",
        "ModifiedBy": "v2-step10",
        "ModifiedAt": "2026-06-20T00:00:00Z",
        "ModifiedByModel": "claude-opus-4-8",
        "IsForward": true
      },
      {
        "StateTransitionId": "st-pred-l-intake-1",
        "Name": "st-pred-l-intake-1",
        "RelativePath": "/admin/state-machine/transitions/st-pred-l-intake-1",
        "StateMachine": "diagnosis-lifecycle",
        "SubjectTableName": "IndividualPredictions",
        "SubjectId": "pred-l",
        "FromStateKey": null,
        "ToStateKey": "Intake",
        "TransitionAt": "2026-06-02T09:00:00Z",
        "TriggeredByRole": "system",
        "Reason": "Lifecycle transition to Intake",
        "CreatedBy": "v2-step10",
        "CreatedAt": "2026-06-20T00:00:00Z",
        "ModifiedBy": "v2-step10",
        "ModifiedAt": "2026-06-20T00:00:00Z",
        "ModifiedByModel": "claude-opus-4-8",
        "IsForward": false
      },
      {
        "StateTransitionId": "st-pred-l-evidenceassessed-2",
        "Name": "st-pred-l-evidenceassessed-2",
        "RelativePath": "/admin/state-machine/transitions/st-pred-l-evidenceassessed-2",
        "StateMachine": "diagnosis-lifecycle",
        "SubjectTableName": "IndividualPredictions",
        "SubjectId": "pred-l",
        "FromStateKey": "Intake",
        "ToStateKey": "EvidenceAssessed",
        "TransitionAt": "2026-06-03T09:00:00Z",
        "TriggeredByRole": "system",
        "Reason": "Lifecycle transition to EvidenceAssessed",
        "CreatedBy": "v2-step10",
        "CreatedAt": "2026-06-20T00:00:00Z",
        "ModifiedBy": "v2-step10",
        "ModifiedAt": "2026-06-20T00:00:00Z",
        "ModifiedByModel": "claude-opus-4-8",
        "IsForward": true
      },
      {
        "StateTransitionId": "st-pred-l-mechanismconfirmed-3",
        "Name": "st-pred-l-mechanismconfirmed-3",
        "RelativePath": "/admin/state-machine/transitions/st-pred-l-mechanismconfirmed-3",
        "StateMachine": "diagnosis-lifecycle",
        "SubjectTableName": "IndividualPredictions",
        "SubjectId": "pred-l",
        "FromStateKey": "EvidenceAssessed",
        "ToStateKey": "MechanismConfirmed",
        "TransitionAt": "2026-06-04T09:00:00Z",
        "TriggeredByRole": "system",
        "Reason": "Lifecycle transition to MechanismConfirmed",
        "CreatedBy": "v2-step10",
        "CreatedAt": "2026-06-20T00:00:00Z",
        "ModifiedBy": "v2-step10",
        "ModifiedAt": "2026-06-20T00:00:00Z",
        "ModifiedByModel": "claude-opus-4-8",
        "IsForward": true
      },
      {
        "StateTransitionId": "st-pred-l-calibrationchecked-4",
        "Name": "st-pred-l-calibrationchecked-4",
        "RelativePath": "/admin/state-machine/transitions/st-pred-l-calibrationchecked-4",
        "StateMachine": "diagnosis-lifecycle",
        "SubjectTableName": "IndividualPredictions",
        "SubjectId": "pred-l",
        "FromStateKey": "MechanismConfirmed",
        "ToStateKey": "CalibrationChecked",
        "TransitionAt": "2026-06-05T09:00:00Z",
        "TriggeredByRole": "system",
        "Reason": "Lifecycle transition to CalibrationChecked",
        "CreatedBy": "v2-step10",
        "CreatedAt": "2026-06-20T00:00:00Z",
        "ModifiedBy": "v2-step10",
        "ModifiedAt": "2026-06-20T00:00:00Z",
        "ModifiedByModel": "claude-opus-4-8",
        "IsForward": true
      },
      {
        "StateTransitionId": "st-pred-l-transportchecked-5",
        "Name": "st-pred-l-transportchecked-5",
        "RelativePath": "/admin/state-machine/transitions/st-pred-l-transportchecked-5",
        "StateMachine": "diagnosis-lifecycle",
        "SubjectTableName": "IndividualPredictions",
        "SubjectId": "pred-l",
        "FromStateKey": "CalibrationChecked",
        "ToStateKey": "TransportChecked",
        "TransitionAt": "2026-06-06T09:00:00Z",
        "TriggeredByRole": "system",
        "Reason": "Lifecycle transition to TransportChecked",
        "CreatedBy": "v2-step10",
        "CreatedAt": "2026-06-20T00:00:00Z",
        "ModifiedBy": "v2-step10",
        "ModifiedAt": "2026-06-20T00:00:00Z",
        "ModifiedByModel": "claude-opus-4-8",
        "IsForward": true
      },
      {
        "StateTransitionId": "st-pred-l-actionable-6",
        "Name": "st-pred-l-actionable-6",
        "RelativePath": "/admin/state-machine/transitions/st-pred-l-actionable-6",
        "StateMachine": "diagnosis-lifecycle",
        "SubjectTableName": "IndividualPredictions",
        "SubjectId": "pred-l",
        "FromStateKey": "TransportChecked",
        "ToStateKey": "Actionable",
        "TransitionAt": "2026-06-07T09:00:00Z",
        "TriggeredByRole": "system",
        "Reason": "Lifecycle transition to Actionable",
        "CreatedBy": "v2-step10",
        "CreatedAt": "2026-06-20T00:00:00Z",
        "ModifiedBy": "v2-step10",
        "ModifiedAt": "2026-06-20T00:00:00Z",
        "ModifiedByModel": "claude-opus-4-8",
        "IsForward": true
      }
    ]
  },
  "SubjectStateInstances": {
    "Description": "Per-subject state occupancy records; current state has blank ExitedAt.",
    "schema": [
      {
        "name": "SubjectStateInstanceId",
        "datatype": "string",
        "type": "raw",
        "nullable": false,
        "Description": "PK: ssi-{subject-id}-{state-key}-{seq}."
      },
      {
        "name": "Name",
        "datatype": "string",
        "type": "calculated",
        "nullable": true,
        "Description": "Echoes SubjectStateInstanceId.",
        "formula": "={{SubjectStateInstanceId}}"
      },
      {
        "name": "RelativePath",
        "datatype": "string",
        "type": "calculated",
        "nullable": true,
        "Description": "Path to this occupancy record.",
        "formula": "=\"/admin/state-machine/instances/\" &amp; {{SubjectStateInstanceId}}"
      },
      {
        "name": "StateMachine",
        "datatype": "string",
        "type": "relationship",
        "nullable": false,
        "Description": "FK -&gt; StateMachines.StateMachineId.",
        "RelatedTo": "StateMachines",
        "isReversed": false,
        "prefersSingleRecordLink": true,
        "InverseField": ""
      },
      {
        "name": "SubjectTableName",
        "datatype": "string",
        "type": "raw",
        "nullable": false,
        "Description": "Polymorphic table name."
      },
      {
        "name": "SubjectId",
        "datatype": "string",
        "type": "raw",
        "nullable": false,
        "Description": "Polymorphic PK of the subject row."
      },
      {
        "name": "StateKey",
        "datatype": "string",
        "type": "raw",
        "nullable": false,
        "Description": "The machine state entered by this occupancy record."
      },
      {
        "name": "EnteredAt",
        "datatype": "datetime",
        "type": "raw",
        "nullable": true,
        "Description": "Timestamp when this state was entered."
      },
      {
        "name": "ExitedAt",
        "datatype": "datetime",
        "type": "raw",
        "nullable": true,
        "Description": "Timestamp when the subject left this state. NULL while current."
      },
      {
        "name": "SequenceIndex",
        "datatype": "number",
        "type": "raw",
        "nullable": false,
        "Description": "1-based position on this subject's path through the machine."
      },
      {
        "name": "PriorInstance",
        "datatype": "string",
        "type": "relationship",
        "nullable": true,
        "Description": "Self-FK: previous occupancy in this subject's chain. NULL for initial.",
        "RelatedTo": "SubjectStateInstances",
        "isReversed": false,
        "prefersSingleRecordLink": true,
        "InverseField": ""
      },
      {
        "name": "EnteredViaTransition",
        "datatype": "string",
        "type": "relationship",
        "nullable": true,
        "Description": "FK -&gt; StateTransitions: the edge event that created this occupancy.",
        "RelatedTo": "StateTransitions",
        "isReversed": false,
        "prefersSingleRecordLink": true,
        "InverseField": ""
      },
      {
        "name": "IsCurrent",
        "datatype": "boolean",
        "type": "calculated",
        "nullable": true,
        "Description": "TRUE when ExitedAt IS NULL — the subject's active state.",
        "formula": "=ISBLANK({{ExitedAt}})"
      },
      {
        "name": "HasCompleteLineage",
        "datatype": "boolean",
        "type": "calculated",
        "nullable": true,
        "Description": "TRUE when lineage walks back to SequenceIndex 1.",
        "formula": "={{SequenceIndex}}&gt;=1"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"name": "DwellDays",
        "datatype": "number",
        "type": "raw",
        "nullable": true,
        "Description": "Bitemporal dwell: days the subject occupied this state (transparent raw value; transpiler lacks date-diff). Witnessed + editable, like any leaf."
      },
      {
        "name": "IsLongDwell",
        "datatype": "boolean",
        "type": "calculated",
        "nullable": true,
        "Description": "TRUE when DwellDays &gt;= 90 (a season).",
        "formula": "=IF({{DwellDays}}&gt;=90,TRUE(),FALSE())"
      }
    ],
    "data": [
      {
        "SubjectStateInstanceId": "ssi-pred-a-intake-1",
        "StateMachine": "diagnosis-lifecycle",
        "SubjectTableName": "IndividualPredictions",
        "SubjectId": "pred-a",
        "StateKey": "Intake",
        "EnteredAt": "2026-06-01T09:00:00Z",
        "ExitedAt": "2026-06-02T09:00:00Z",
        "SequenceIndex": 1,
        "PriorInstance": null,
        "EnteredViaTransition": null,
        "CreatedBy": "build-seed",
        "ModifiedBy": "build-seed",
        "Name": "ssi-pred-a-intake-1",
        "RelativePath": "/admin/state-machine/instances/ssi-pred-a-intake-1",
        "IsCurrent": false,
        "HasCompleteLineage": true,
        "CreatedAt": null,
        "ModifiedAt": null,
        "ModifiedByModel": null,
        "DwellDays": null,
        "IsLongDwell": false
      },
      {
        "SubjectStateInstanceId": "ssi-pred-a-evidenceassessed-2",
        "StateMachine": "diagnosis-lifecycle",
        "SubjectTableName": "IndividualPredictions",
        "SubjectId": "pred-a",
        "StateKey": "EvidenceAssessed",
        "EnteredAt": "2026-06-02T09:00:00Z",
        "ExitedAt": "2026-06-03T09:00:00Z",
        "SequenceIndex": 2,
        "PriorInstance": "ssi-pred-a-intake-1",
        "EnteredViaTransition": "st-a-02-intake-to-evidenceassessed",
        "CreatedBy": "build-seed",
        "ModifiedBy": "build-seed",
        "Name": "ssi-pred-a-evidenceassessed-2",
        "RelativePath": "/admin/state-machine/instances/ssi-pred-a-evidenceassessed-2",
        "IsCurrent": false,
        "HasCompleteLineage": true,
        "CreatedAt": null,
        "ModifiedAt": null,
        "ModifiedByModel": null,
        "DwellDays": null,
        "IsLongDwell": false
      },
      {
        "SubjectStateInstanceId": "ssi-pred-a-mechanismconfirmed-3",
        "StateMachine": "diagnosis-lifecycle",
        "SubjectTableName": "IndividualPredictions",
        "SubjectId": "pred-a",
        "StateKey": "MechanismConfirmed",
        "EnteredAt": "2026-06-03T09:00:00Z",
        "ExitedAt": "2026-06-04T09:00:00Z",
        "SequenceIndex": 3,
        "PriorInstance": "ssi-pred-a-evidenceassessed-2",
        "EnteredViaTransition": "st-a-03-evidenceassessed-to-mechanismconfirmed",
        "CreatedBy": "build-seed",
        "ModifiedBy": "build-seed",
        "Name": "ssi-pred-a-mechanismconfirmed-3",
        "RelativePath": "/admin/state-machine/instances/ssi-pred-a-mechanismconfirmed-3",
        "IsCurrent": false,
        "HasCompleteLineage": true,
        "CreatedAt": null,
        "ModifiedAt": null,
        "ModifiedByModel": null,
        "DwellDays": null,
        "IsLongDwell": false
      },
      {
        "SubjectStateInstanceId": "ssi-pred-a-calibrationchecked-4",
        "StateMachine": "diagnosis-lifecycle",
        "SubjectTableName": "IndividualPredictions",
        "SubjectId": "pred-a",
        "StateKey": "CalibrationChecked",
        "EnteredAt": "2026-06-04T09:00:00Z",
        "ExitedAt": "2026-06-05T09:00:00Z",
        "SequenceIndex": 4,
        "PriorInstance": "ssi-pred-a-mechanismconfirmed-3",
        "EnteredViaTransition": "st-a-04-mechanismconfirmed-to-calibrationchecked",
        "CreatedBy": "build-seed",
        "ModifiedBy": "build-seed",
        "Name": "ssi-pred-a-calibrationchecked-4",
        "RelativePath": "/admin/state-machine/instances/ssi-pred-a-calibrationchecked-4",
        "IsCurrent": false,
        "HasCompleteLineage": true,
        "CreatedAt": null,
        "ModifiedAt": null,
        "ModifiedByModel": null,
        "DwellDays": null,
        "IsLongDwell": false
      },
      {
        "SubjectStateInstanceId": "ssi-pred-a-transportchecked-5",
        "StateMachine": "diagnosis-lifecycle",
        "SubjectTableName": "IndividualPredictions",
        "SubjectId": "pred-a",
        "StateKey": "TransportChecked",
        "EnteredAt": "2026-06-05T09:00:00Z",
        "ExitedAt": "2026-06-06T09:00:00Z",
        "SequenceIndex": 5,
        "PriorInstance": "ssi-pred-a-calibrationchecked-4",
        "EnteredViaTransition": "st-a-05-calibrationchecked-to-transportchecked",
        "CreatedBy": "build-seed",
        "ModifiedBy": "build-seed",
        "Name": "ssi-pred-a-transportchecked-5",
        "RelativePath": "/admin/state-machine/instances/ssi-pred-a-transportchecked-5",
        "IsCurrent": false,
        "HasCompleteLineage": true,
        "CreatedAt": null,
        "ModifiedAt": null,
        "ModifiedByModel": null,
        "DwellDays": null,
        "IsLongDwell": false
      },
      {
        "SubjectStateInstanceId": "ssi-pred-a-actionable-6",
        "StateMachine": "diagnosis-lifecycle",
        "SubjectTableName": "IndividualPredictions",
        "SubjectId": "pred-a",
        "StateKey": "Actionable",
        "EnteredAt": "2026-06-06T09:00:00Z",
        "ExitedAt": null,
        "SequenceIndex": 6,
        "PriorInstance": "ssi-pred-a-transportchecked-5",
        "EnteredViaTransition": "st-a-06-transportchecked-to-actionable",
        "CreatedBy": "build-seed",
        "ModifiedBy": "build-seed",
        "Name": "ssi-pred-a-actionable-6",
        "RelativePath": "/admin/state-machine/instances/ssi-pred-a-actionable-6",
        "IsCurrent": true,
        "HasCompleteLineage": true,
        "CreatedAt": null,
        "ModifiedAt": null,
        "ModifiedByModel": null,
        "DwellDays": null,
        "IsLongDwell": false
      },
      {
        "SubjectStateInstanceId": "ssi-pred-b-intake-1",
        "StateMachine": "diagnosis-lifecycle",
        "SubjectTableName": "IndividualPredictions",
        "SubjectId": "pred-b",
        "StateKey": "Intake",
        "EnteredAt": "2026-06-01T09:00:00Z",
        "ExitedAt": "2026-06-02T09:00:00Z",
        "SequenceIndex": 1,
        "PriorInstance": null,
        "EnteredViaTransition": null,
        "CreatedBy": "build-seed",
        "ModifiedBy": "build-seed",
        "Name": "ssi-pred-b-intake-1",
        "RelativePath": "/admin/state-machine/instances/ssi-pred-b-intake-1",
        "IsCurrent": false,
        "HasCompleteLineage": true,
        "CreatedAt": null,
        "ModifiedAt": null,
        "ModifiedByModel": null,
        "DwellDays": null,
        "IsLongDwell": false
      },
      {
        "SubjectStateInstanceId": "ssi-pred-b-evidenceassessed-2",
        "StateMachine": "diagnosis-lifecycle",
        "SubjectTableName": "IndividualPredictions",
        "SubjectId": "pred-b",
        "StateKey": "EvidenceAssessed",
        "EnteredAt": "2026-06-02T09:00:00Z",
        "ExitedAt": "2026-06-03T09:00:00Z",
        "SequenceIndex": 2,
        "PriorInstance": "ssi-pred-b-intake-1",
        "EnteredViaTransition": "st-b-02-intake-to-evidenceassessed",
        "CreatedBy": "build-seed",
        "ModifiedBy": "build-seed",
        "Name": "ssi-pred-b-evidenceassessed-2",
        "RelativePath": "/admin/state-machine/instances/ssi-pred-b-evidenceassessed-2",
        "IsCurrent": false,
        "HasCompleteLineage": true,
        "CreatedAt": null,
        "ModifiedAt": null,
        "ModifiedByModel": null,
        "DwellDays": null,
        "IsLongDwell": false
      },
      {
        "SubjectStateInstanceId": "ssi-pred-b-mechanismconfirmed-3",
        "StateMachine": "diagnosis-lifecycle",
        "SubjectTableName": "IndividualPredictions",
        "SubjectId": "pred-b",
        "StateKey": "MechanismConfirmed",
        "EnteredAt": "2026-06-03T09:00:00Z",
        "ExitedAt": "2026-06-04T09:00:00Z",
        "SequenceIndex": 3,
        "PriorInstance": "ssi-pred-b-evidenceassessed-2",
        "EnteredViaTransition": "st-b-03-evidenceassessed-to-mechanismconfirmed",
        "CreatedBy": "build-seed",
        "ModifiedBy": "build-seed",
        "Name": "ssi-pred-b-mechanismconfirmed-3",
        "RelativePath": "/admin/state-machine/instances/ssi-pred-b-mechanismconfirmed-3",
        "IsCurrent": false,
        "HasCompleteLineage": true,
        "CreatedAt": null,
        "ModifiedAt": null,
        "ModifiedByModel": null,
        "DwellDays": null,
        "IsLongDwell": false
      },
      {
        "SubjectStateInstanceId": "ssi-pred-b-calibrationchecked-4",
        "StateMachine": "diagnosis-lifecycle",
        "SubjectTableName": "IndividualPredictions",
        "SubjectId": "pred-b",
        "StateKey": "CalibrationChecked",
        "EnteredAt": "2026-06-04T09:00:00Z",
        "ExitedAt": "2026-06-05T09:00:00Z",
        "SequenceIndex": 4,
        "PriorInstance": "ssi-pred-b-mechanismconfirmed-3",
        "EnteredViaTransition": "st-b-04-mechanismconfirmed-to-calibrationchecked",
        "CreatedBy": "build-seed",
        "ModifiedBy": "build-seed",
        "Name": "ssi-pred-b-calibrationchecked-4",
        "RelativePath": "/admin/state-machine/instances/ssi-pred-b-calibrationchecked-4",
        "IsCurrent": false,
        "HasCompleteLineage": true,
        "CreatedAt": null,
        "ModifiedAt": null,
        "ModifiedByModel": null,
        "DwellDays": null,
        "IsLongDwell": false
      },
      {
        "SubjectStateInstanceId": "ssi-pred-b-notactionable-5",
        "StateMachine": "diagnosis-lifecycle",
        "SubjectTableName": "IndividualPredictions",
        "SubjectId": "pred-b",
        "StateKey": "NotActionable",
        "EnteredAt": "2026-06-05T09:00:00Z",
        "ExitedAt": null,
        "SequenceIndex": 5,
        "PriorInstance": "ssi-pred-b-calibrationchecked-4",
        "EnteredViaTransition": "st-b-05-calibrationchecked-to-notactionable",
        "CreatedBy": "build-seed",
        "ModifiedBy": "build-seed",
        "Name": "ssi-pred-b-notactionable-5",
        "RelativePath": "/admin/state-machine/instances/ssi-pred-b-notactionable-5",
        "IsCurrent": true,
        "HasCompleteLineage": true,
        "CreatedAt": null,
        "ModifiedAt": null,
        "ModifiedByModel": null,
        "DwellDays": null,
        "IsLongDwell": false
      },
      {
        "SubjectStateInstanceId": "ssi-pred-c-intake-1",
        "StateMachine": "diagnosis-lifecycle",
        "SubjectTableName": "IndividualPredictions",
        "SubjectId": "pred-c",
        "StateKey": "Intake",
        "EnteredAt": "2026-06-01T09:00:00Z",
        "ExitedAt": "2026-06-02T09:00:00Z",
        "SequenceIndex": 1,
        "PriorInstance": null,
        "EnteredViaTransition": null,
        "CreatedBy": "build-seed",
        "ModifiedBy": "build-seed",
        "Name": "ssi-pred-c-intake-1",
        "RelativePath": "/admin/state-machine/instances/ssi-pred-c-intake-1",
        "IsCurrent": false,
        "HasCompleteLineage": true,
        "CreatedAt": null,
        "ModifiedAt": null,
        "ModifiedByModel": null,
        "DwellDays": null,
        "IsLongDwell": false
      },
      {
        "SubjectStateInstanceId": "ssi-pred-c-evidenceassessed-2",
        "StateMachine": "diagnosis-lifecycle",
        "SubjectTableName": "IndividualPredictions",
        "SubjectId": "pred-c",
        "StateKey": "EvidenceAssessed",
        "EnteredAt": "2026-06-02T09:00:00Z",
        "ExitedAt": "2026-06-03T09:00:00Z",
        "SequenceIndex": 2,
        "PriorInstance": "ssi-pred-c-intake-1",
        "EnteredViaTransition": "st-c-02-intake-to-evidenceassessed",
        "CreatedBy": "build-seed",
        "ModifiedBy": "build-seed",
        "Name": "ssi-pred-c-evidenceassessed-2",
        "RelativePath": "/admin/state-machine/instances/ssi-pred-c-evidenceassessed-2",
        "IsCurrent": false,
        "HasCompleteLineage": true,
        "CreatedAt": null,
        "ModifiedAt": null,
        "ModifiedByModel": null,
        "DwellDays": null,
        "IsLongDwell": false
      },
      {
        "SubjectStateInstanceId": "ssi-pred-c-notactionable-3",
        "StateMachine": "diagnosis-lifecycle",
        "SubjectTableName": "IndividualPredictions",
        "SubjectId": "pred-c",
        "StateKey": "NotActionable",
        "EnteredAt": "2026-06-03T09:00:00Z",
        "ExitedAt": null,
        "SequenceIndex": 3,
        "PriorInstance": "ssi-pred-c-evidenceassessed-2",
        "EnteredViaTransition": "st-c-03-evidenceassessed-to-notactionable",
        "CreatedBy": "build-seed",
        "ModifiedBy": "build-seed",
        "Name": "ssi-pred-c-notactionable-3",
        "RelativePath": "/admin/state-machine/instances/ssi-pred-c-notactionable-3",
        "IsCurrent": true,
        "HasCompleteLineage": true,
        "CreatedAt": null,
        "ModifiedAt": null,
        "ModifiedByModel": null,
        "DwellDays": null,
        "IsLongDwell": false
      },
      {
        "SubjectStateInstanceId": "ssi-pred-d-intake-1",
        "StateMachine": "diagnosis-lifecycle",
        "SubjectTableName": "IndividualPredictions",
        "SubjectId": "pred-d",
        "StateKey": "Intake",
        "EnteredAt": "2026-06-01T09:00:00Z",
        "ExitedAt": "2026-06-02T09:00:00Z",
        "SequenceIndex": 1,
        "PriorInstance": null,
        "EnteredViaTransition": null,
        "CreatedBy": "build-seed",
        "ModifiedBy": "build-seed",
        "Name": "ssi-pred-d-intake-1",
        "RelativePath": "/admin/state-machine/instances/ssi-pred-d-intake-1",
        "IsCurrent": false,
        "HasCompleteLineage": true,
        "CreatedAt": null,
        "ModifiedAt": null,
        "ModifiedByModel": null,
        "DwellDays": null,
        "IsLongDwell": false
      },
      {
        "SubjectStateInstanceId": "ssi-pred-d-evidenceassessed-2",
        "StateMachine": "diagnosis-lifecycle",
        "SubjectTableName": "IndividualPredictions",
        "SubjectId": "pred-d",
        "StateKey": "EvidenceAssessed",
        "EnteredAt": "2026-06-02T09:00:00Z",
        "ExitedAt": "2026-06-03T09:00:00Z",
        "SequenceIndex": 2,
        "PriorInstance": "ssi-pred-d-intake-1",
        "EnteredViaTransition": "st-d-02-intake-to-evidenceassessed",
        "CreatedBy": "build-seed",
        "ModifiedBy": "build-seed",
        "Name": "ssi-pred-d-evidenceassessed-2",
        "RelativePath": "/admin/state-machine/instances/ssi-pred-d-evidenceassessed-2",
        "IsCurrent": false,
        "HasCompleteLineage": true,
        "CreatedAt": null,
        "ModifiedAt": null,
        "ModifiedByModel": null,
        "DwellDays": null,
        "IsLongDwell": false
      },
      {
        "SubjectStateInstanceId": "ssi-pred-d-mechanismconfirmed-3",
        "StateMachine": "diagnosis-lifecycle",
        "SubjectTableName": "IndividualPredictions",
        "SubjectId": "pred-d",
        "StateKey": "MechanismConfirmed",
        "EnteredAt": "2026-06-03T09:00:00Z",
        "ExitedAt": "2026-06-04T09:00:00Z",
        "SequenceIndex": 3,
        "PriorInstance": "ssi-pred-d-evidenceassessed-2",
        "EnteredViaTransition": "st-d-03-evidenceassessed-to-mechanismconfirmed",
        "CreatedBy": "build-seed",
        "ModifiedBy": "build-seed",
        "Name": "ssi-pred-d-mechanismconfirmed-3",
        "RelativePath": "/admin/state-machine/instances/ssi-pred-d-mechanismconfirmed-3",
        "IsCurrent": false,
        "HasCompleteLineage": true,
        "CreatedAt": null,
        "ModifiedAt": null,
        "ModifiedByModel": null,
        "DwellDays": null,
        "IsLongDwell": false
      },
      {
        "SubjectStateInstanceId": "ssi-pred-d-notactionable-4",
        "StateMachine": "diagnosis-lifecycle",
        "SubjectTableName": "IndividualPredictions",
        "SubjectId": "pred-d",
        "StateKey": "NotActionable",
        "EnteredAt": "2026-06-04T09:00:00Z",
        "ExitedAt": null,
        "SequenceIndex": 4,
        "PriorInstance": "ssi-pred-d-mechanismconfirmed-3",
        "EnteredViaTransition": "st-d-04-mechanismconfirmed-to-notactionable",
        "CreatedBy": "build-seed",
        "ModifiedBy": "build-seed",
        "Name": "ssi-pred-d-notactionable-4",
        "RelativePath": "/admin/state-machine/instances/ssi-pred-d-notactionable-4",
        "IsCurrent": true,
        "HasCompleteLineage": true,
        "CreatedAt": null,
        "ModifiedAt": null,
        "ModifiedByModel": null,
        "DwellDays": null,
        "IsLongDwell": false
      },
      {
        "SubjectStateInstanceId": "ssi-pred-e-intake-1",
        "StateMachine": "diagnosis-lifecycle",
        "SubjectTableName": "IndividualPredictions",
        "SubjectId": "pred-e",
        "StateKey": "Intake",
        "EnteredAt": "2026-06-01T09:00:00Z",
        "ExitedAt": "2026-06-02T09:00:00Z",
        "SequenceIndex": 1,
        "PriorInstance": null,
        "EnteredViaTransition": null,
        "CreatedBy": "build-seed",
        "ModifiedBy": "build-seed",
        "Name": "ssi-pred-e-intake-1",
        "RelativePath": "/admin/state-machine/instances/ssi-pred-e-intake-1",
        "IsCurrent": false,
        "HasCompleteLineage": true,
        "CreatedAt": null,
        "ModifiedAt": null,
        "ModifiedByModel": null,
        "DwellDays": null,
        "IsLongDwell": false
      },
      {
        "SubjectStateInstanceId": "ssi-pred-e-evidenceassessed-2",
        "StateMachine": "diagnosis-lifecycle",
        "SubjectTableName": "IndividualPredictions",
        "SubjectId": "pred-e",
        "StateKey": "EvidenceAssessed",
        "EnteredAt": "2026-06-02T09:00:00Z",
        "ExitedAt": "2026-06-03T09:00:00Z",
        "SequenceIndex": 2,
        "PriorInstance": "ssi-pred-e-intake-1",
        "EnteredViaTransition": "st-e-02-intake-to-evidenceassessed",
        "CreatedBy": "build-seed",
        "ModifiedBy": "build-seed",
        "Name": "ssi-pred-e-evidenceassessed-2",
        "RelativePath": "/admin/state-machine/instances/ssi-pred-e-evidenceassessed-2",
        "IsCurrent": false,
        "HasCompleteLineage": true,
        "CreatedAt": null,
        "ModifiedAt": null,
        "ModifiedByModel": null,
        "DwellDays": null,
        "IsLongDwell": false
      },
      {
        "SubjectStateInstanceId": "ssi-pred-e-notactionable-3",
        "StateMachine": "diagnosis-lifecycle",
        "SubjectTableName": "IndividualPredictions",
        "SubjectId": "pred-e",
        "StateKey": "NotActionable",
        "EnteredAt": "2026-06-03T09:00:00Z",
        "ExitedAt": null,
        "SequenceIndex": 3,
        "PriorInstance": "ssi-pred-e-evidenceassessed-2",
        "EnteredViaTransition": "st-e-03-evidenceassessed-to-notactionable",
        "CreatedBy": "build-seed",
        "ModifiedBy": "build-seed",
        "Name": "ssi-pred-e-notactionable-3",
        "RelativePath": "/admin/state-machine/instances/ssi-pred-e-notactionable-3",
        "IsCurrent": true,
        "HasCompleteLineage": true,
        "CreatedAt": null,
        "ModifiedAt": null,
        "ModifiedByModel": null,
        "DwellDays": null,
        "IsLongDwell": false
      },
      {
        "SubjectStateInstanceId": "ssi-pred-f-intake-1",
        "StateMachine": "diagnosis-lifecycle",
        "SubjectTableName": "IndividualPredictions",
        "SubjectId": "pred-f",
        "StateKey": "Intake",
        "EnteredAt": "2026-06-01T09:00:00Z",
        "ExitedAt": "2026-06-02T09:00:00Z",
        "SequenceIndex": 1,
        "PriorInstance": null,
        "EnteredViaTransition": null,
        "CreatedBy": "build-seed",
        "ModifiedBy": "build-seed",
        "Name": "ssi-pred-f-intake-1",
        "RelativePath": "/admin/state-machine/instances/ssi-pred-f-intake-1",
        "IsCurrent": false,
        "HasCompleteLineage": true,
        "CreatedAt": null,
        "ModifiedAt": null,
        "ModifiedByModel": null,
        "DwellDays": null,
        "IsLongDwell": false
      },
      {
        "SubjectStateInstanceId": "ssi-pred-f-evidenceassessed-2",
        "StateMachine": "diagnosis-lifecycle",
        "SubjectTableName": "IndividualPredictions",
        "SubjectId": "pred-f",
        "StateKey": "EvidenceAssessed",
        "EnteredAt": "2026-06-02T09:00:00Z",
        "ExitedAt": "2026-06-03T09:00:00Z",
        "SequenceIndex": 2,
        "PriorInstance": "ssi-pred-f-intake-1",
        "EnteredViaTransition": "st-f-02-intake-to-evidenceassessed",
        "CreatedBy": "build-seed",
        "ModifiedBy": "build-seed",
        "Name": "ssi-pred-f-evidenceassessed-2",
        "RelativePath": "/admin/state-machine/instances/ssi-pred-f-evidenceassessed-2",
        "IsCurrent": false,
        "HasCompleteLineage": true,
        "CreatedAt": null,
        "ModifiedAt": null,
        "ModifiedByModel": null,
        "DwellDays": null,
        "IsLongDwell": false
      },
      {
        "SubjectStateInstanceId": "ssi-pred-f-mechanismconfirmed-3",
        "StateMachine": "diagnosis-lifecycle",
        "SubjectTableName": "IndividualPredictions",
        "SubjectId": "pred-f",
        "StateKey": "MechanismConfirmed",
        "EnteredAt": "2026-06-03T09:00:00Z",
        "ExitedAt": "2026-06-04T09:00:00Z",
        "SequenceIndex": 3,
        "PriorInstance": "ssi-pred-f-evidenceassessed-2",
        "EnteredViaTransition": "st-f-03-evidenceassessed-to-mechanismconfirmed",
        "CreatedBy": "build-seed",
        "ModifiedBy": "build-seed",
        "Name": "ssi-pred-f-mechanismconfirmed-3",
        "RelativePath": "/admin/state-machine/instances/ssi-pred-f-mechanismconfirmed-3",
        "IsCurrent": false,
        "HasCompleteLineage": true,
        "CreatedAt": null,
        "ModifiedAt": null,
        "ModifiedByModel": null,
        "DwellDays": null,
        "IsLongDwell": false
      },
      {
        "SubjectStateInstanceId": "ssi-pred-f-calibrationchecked-4",
        "StateMachine": "diagnosis-lifecycle",
        "SubjectTableName": "IndividualPredictions",
        "SubjectId": "pred-f",
        "StateKey": "CalibrationChecked",
        "EnteredAt": "2026-06-04T09:00:00Z",
        "ExitedAt": "2026-06-05T09:00:00Z",
        "SequenceIndex": 4,
        "PriorInstance": "ssi-pred-f-mechanismconfirmed-3",
        "EnteredViaTransition": "st-f-04-mechanismconfirmed-to-calibrationchecked",
        "CreatedBy": "build-seed",
        "ModifiedBy": "build-seed",
        "Name": "ssi-pred-f-calibrationchecked-4",
        "RelativePath": "/admin/state-machine/instances/ssi-pred-f-calibrationchecked-4",
        "IsCurrent": false,
        "HasCompleteLineage": true,
        "CreatedAt": null,
        "ModifiedAt": null,
        "ModifiedByModel": null,
        "DwellDays": null,
        "IsLongDwell": false
      },
      {
        "SubjectStateInstanceId": "ssi-pred-f-transportchecked-5",
        "StateMachine": "diagnosis-lifecycle",
        "SubjectTableName": "IndividualPredictions",
        "SubjectId": "pred-f",
        "</t>
  </si>
  <si>
    <t xml:space="preserve">StateKey": "TransportChecked",
        "EnteredAt": "2026-06-05T09:00:00Z",
        "ExitedAt": "2026-06-06T09:00:00Z",
        "SequenceIndex": 5,
        "PriorInstance": "ssi-pred-f-calibrationchecked-4",
        "EnteredViaTransition": "st-f-05-calibrationchecked-to-transportchecked",
        "CreatedBy": "build-seed",
        "ModifiedBy": "build-seed",
        "Name": "ssi-pred-f-transportchecked-5",
        "RelativePath": "/admin/state-machine/instances/ssi-pred-f-transportchecked-5",
        "IsCurrent": false,
        "HasCompleteLineage": true,
        "CreatedAt": null,
        "ModifiedAt": null,
        "ModifiedByModel": null,
        "DwellDays": null,
        "IsLongDwell": false
      },
      {
        "SubjectStateInstanceId": "ssi-pred-f-notactionable-6",
        "StateMachine": "diagnosis-lifecycle",
        "SubjectTableName": "IndividualPredictions",
        "SubjectId": "pred-f",
        "StateKey": "NotActionable",
        "EnteredAt": "2026-06-06T09:00:00Z",
        "ExitedAt": null,
        "SequenceIndex": 6,
        "PriorInstance": "ssi-pred-f-transportchecked-5",
        "EnteredViaTransition": "st-f-06-transportchecked-to-notactionable",
        "CreatedBy": "build-seed",
        "ModifiedBy": "build-seed",
        "Name": "ssi-pred-f-notactionable-6",
        "RelativePath": "/admin/state-machine/instances/ssi-pred-f-notactionable-6",
        "IsCurrent": true,
        "HasCompleteLineage": true,
        "CreatedAt": null,
        "ModifiedAt": null,
        "ModifiedByModel": null,
        "DwellDays": null,
        "IsLongDwell": false
      },
      {
        "SubjectStateInstanceId": "ssi-pred-g-intake-1",
        "StateMachine": "diagnosis-lifecycle",
        "SubjectTableName": "IndividualPredictions",
        "SubjectId": "pred-g",
        "StateKey": "Intake",
        "EnteredAt": "2026-06-01T09:00:00Z",
        "ExitedAt": "2026-06-02T09:00:00Z",
        "SequenceIndex": 1,
        "PriorInstance": null,
        "EnteredViaTransition": null,
        "CreatedBy": "build-seed",
        "ModifiedBy": "build-seed",
        "Name": "ssi-pred-g-intake-1",
        "RelativePath": "/admin/state-machine/instances/ssi-pred-g-intake-1",
        "IsCurrent": false,
        "HasCompleteLineage": true,
        "CreatedAt": null,
        "ModifiedAt": null,
        "ModifiedByModel": null,
        "DwellDays": null,
        "IsLongDwell": false
      },
      {
        "SubjectStateInstanceId": "ssi-pred-g-evidenceassessed-2",
        "StateMachine": "diagnosis-lifecycle",
        "SubjectTableName": "IndividualPredictions",
        "SubjectId": "pred-g",
        "StateKey": "EvidenceAssessed",
        "EnteredAt": "2026-06-02T09:00:00Z",
        "ExitedAt": "2026-06-03T09:00:00Z",
        "SequenceIndex": 2,
        "PriorInstance": "ssi-pred-g-intake-1",
        "EnteredViaTransition": "st-g-02-intake-to-evidenceassessed",
        "CreatedBy": "build-seed",
        "ModifiedBy": "build-seed",
        "Name": "ssi-pred-g-evidenceassessed-2",
        "RelativePath": "/admin/state-machine/instances/ssi-pred-g-evidenceassessed-2",
        "IsCurrent": false,
        "HasCompleteLineage": true,
        "CreatedAt": null,
        "ModifiedAt": null,
        "ModifiedByModel": null,
        "DwellDays": null,
        "IsLongDwell": false
      },
      {
        "SubjectStateInstanceId": "ssi-pred-g-mechanismconfirmed-3",
        "StateMachine": "diagnosis-lifecycle",
        "SubjectTableName": "IndividualPredictions",
        "SubjectId": "pred-g",
        "StateKey": "MechanismConfirmed",
        "EnteredAt": "2026-06-03T09:00:00Z",
        "ExitedAt": "2026-06-04T09:00:00Z",
        "SequenceIndex": 3,
        "PriorInstance": "ssi-pred-g-evidenceassessed-2",
        "EnteredViaTransition": "st-g-03-evidenceassessed-to-mechanismconfirmed",
        "CreatedBy": "build-seed",
        "ModifiedBy": "build-seed",
        "Name": "ssi-pred-g-mechanismconfirmed-3",
        "RelativePath": "/admin/state-machine/instances/ssi-pred-g-mechanismconfirmed-3",
        "IsCurrent": false,
        "HasCompleteLineage": true,
        "CreatedAt": null,
        "ModifiedAt": null,
        "ModifiedByModel": null,
        "DwellDays": null,
        "IsLongDwell": false
      },
      {
        "SubjectStateInstanceId": "ssi-pred-g-calibrationchecked-4",
        "StateMachine": "diagnosis-lifecycle",
        "SubjectTableName": "IndividualPredictions",
        "SubjectId": "pred-g",
        "StateKey": "CalibrationChecked",
        "EnteredAt": "2026-06-04T09:00:00Z",
        "ExitedAt": "2026-06-05T09:00:00Z",
        "SequenceIndex": 4,
        "PriorInstance": "ssi-pred-g-mechanismconfirmed-3",
        "EnteredViaTransition": "st-g-04-mechanismconfirmed-to-calibrationchecked",
        "CreatedBy": "build-seed",
        "ModifiedBy": "build-seed",
        "Name": "ssi-pred-g-calibrationchecked-4",
        "RelativePath": "/admin/state-machine/instances/ssi-pred-g-calibrationchecked-4",
        "IsCurrent": false,
        "HasCompleteLineage": true,
        "CreatedAt": null,
        "ModifiedAt": null,
        "ModifiedByModel": null,
        "DwellDays": null,
        "IsLongDwell": false
      },
      {
        "SubjectStateInstanceId": "ssi-pred-g-transportchecked-5",
        "StateMachine": "diagnosis-lifecycle",
        "SubjectTableName": "IndividualPredictions",
        "SubjectId": "pred-g",
        "StateKey": "TransportChecked",
        "EnteredAt": "2026-06-05T09:00:00Z",
        "ExitedAt": "2026-06-06T09:00:00Z",
        "SequenceIndex": 5,
        "PriorInstance": "ssi-pred-g-calibrationchecked-4",
        "EnteredViaTransition": "st-g-05-calibrationchecked-to-transportchecked",
        "CreatedBy": "build-seed",
        "ModifiedBy": "build-seed",
        "Name": "ssi-pred-g-transportchecked-5",
        "RelativePath": "/admin/state-machine/instances/ssi-pred-g-transportchecked-5",
        "IsCurrent": false,
        "HasCompleteLineage": true,
        "CreatedAt": null,
        "ModifiedAt": null,
        "ModifiedByModel": null,
        "DwellDays": null,
        "IsLongDwell": false
      },
      {
        "SubjectStateInstanceId": "ssi-pred-g-actionable-6",
        "StateMachine": "diagnosis-lifecycle",
        "SubjectTableName": "IndividualPredictions",
        "SubjectId": "pred-g",
        "StateKey": "Actionable",
        "EnteredAt": "2026-06-06T09:00:00Z",
        "ExitedAt": null,
        "SequenceIndex": 6,
        "PriorInstance": "ssi-pred-g-transportchecked-5",
        "EnteredViaTransition": "st-g-06-transportchecked-to-actionable",
        "CreatedBy": "build-seed",
        "ModifiedBy": "build-seed",
        "Name": "ssi-pred-g-actionable-6",
        "RelativePath": "/admin/state-machine/instances/ssi-pred-g-actionable-6",
        "IsCurrent": true,
        "HasCompleteLineage": true,
        "CreatedAt": null,
        "ModifiedAt": null,
        "ModifiedByModel": null,
        "DwellDays": null,
        "IsLongDwell": false
      },
      {
        "SubjectStateInstanceId": "ssi-ind-a-reyes-presymptomaticautoimmunity-1",
        "Name": "ssi-ind-a-reyes-presymptomaticautoimmunity-1",
        "RelativePath": "/admin/state-machine/instances/ssi-ind-a-reyes-presymptomaticautoimmunity-1",
        "StateMachine": "lupus-nephritis-progression",
        "SubjectTableName": "Individuals",
        "SubjectId": "ind-a-reyes",
        "StateKey": "PresymptomaticAutoimmunity",
        "EnteredAt": "2025-09-01T00:00:00Z",
        "ExitedAt": "2025-12-01T00:00:00Z",
        "SequenceIndex": 1,
        "PriorInstance": null,
        "EnteredViaTransition": "st-ind-a-reyes-presymptomaticautoimmunity-1",
        "DwellDays": 90,
        "CreatedBy": "v2-step3",
        "CreatedAt": "2026-06-20T00:00:00Z",
        "ModifiedBy": "v2-step3",
        "ModifiedAt": "2026-06-20T00:00:00Z",
        "ModifiedByModel": "claude-opus-4-8",
        "IsCurrent": false,
        "HasCompleteLineage": true,
        "IsLongDwell": true
      },
      {
        "SubjectStateInstanceId": "ssi-ind-a-reyes-serologicactive-2",
        "Name": "ssi-ind-a-reyes-serologicactive-2",
        "RelativePath": "/admin/state-machine/instances/ssi-ind-a-reyes-serologicactive-2",
        "StateMachine": "lupus-nephritis-progression",
        "SubjectTableName": "Individuals",
        "SubjectId": "ind-a-reyes",
        "StateKey": "SerologicActive",
        "EnteredAt": "2025-12-01T00:00:00Z",
        "ExitedAt": null,
        "SequenceIndex": 2,
        "PriorInstance": "ssi-ind-a-reyes-presymptomaticautoimmunity-1",
        "EnteredViaTransition": "st-ind-a-reyes-serologicactive-2",
        "DwellDays": 120,
        "CreatedBy": "v2-step3",
        "CreatedAt": "2026-06-20T00:00:00Z",
        "ModifiedBy": "v2-step3",
        "ModifiedAt": "2026-06-20T00:00:00Z",
        "ModifiedByModel": "claude-opus-4-8",
        "IsCurrent": true,
        "HasCompleteLineage": true,
        "IsLongDwell": true
      },
      {
        "SubjectStateInstanceId": "ssi-ind-b-okafor-presymptomaticautoimmunity-1",
        "Name": "ssi-ind-b-okafor-presymptomaticautoimmunity-1",
        "RelativePath": "/admin/state-machine/instances/ssi-ind-b-okafor-presymptomaticautoimmunity-1",
        "StateMachine": "lupus-nephritis-progression",
        "SubjectTableName": "Individuals",
        "SubjectId": "ind-b-okafor",
        "StateKey": "PresymptomaticAutoimmunity",
        "EnteredAt": "2025-08-15T00:00:00Z",
        "ExitedAt": null,
        "SequenceIndex": 1,
        "PriorInstance": null,
        "EnteredViaTransition": "st-ind-b-okafor-presymptomaticautoimmunity-1",
        "DwellDays": 120,
        "CreatedBy": "v2-step3",
        "CreatedAt": "2026-06-20T00:00:00Z",
        "ModifiedBy": "v2-step3",
        "ModifiedAt": "2026-06-20T00:00:00Z",
        "ModifiedByModel": "claude-opus-4-8",
        "IsCurrent": true,
        "HasCompleteLineage": true,
        "IsLongDwell": true
      },
      {
        "SubjectStateInstanceId": "ssi-ind-c-chen-presymptomaticautoimmunity-1",
        "Name": "ssi-ind-c-chen-presymptomaticautoimmunity-1",
        "RelativePath": "/admin/state-machine/instances/ssi-ind-c-chen-presymptomaticautoimmunity-1",
        "StateMachine": "lupus-nephritis-progression",
        "SubjectTableName": "Individuals",
        "SubjectId": "ind-c-chen",
        "StateKey": "PresymptomaticAutoimmunity",
        "EnteredAt": "2025-07-01T00:00:00Z",
        "ExitedAt": "2025-10-01T00:00:00Z",
        "SequenceIndex": 1,
        "PriorInstance": null,
        "EnteredViaTransition": "st-ind-c-chen-presymptomaticautoimmunity-1",
        "DwellDays": 90,
        "CreatedBy": "v2-step3",
        "CreatedAt": "2026-06-20T00:00:00Z",
        "ModifiedBy": "v2-step3",
        "ModifiedAt": "2026-06-20T00:00:00Z",
        "ModifiedByModel": "claude-opus-4-8",
        "IsCurrent": false,
        "HasCompleteLineage": true,
        "IsLongDwell": true
      },
      {
        "SubjectStateInstanceId": "ssi-ind-c-chen-serologicactive-2",
        "Name": "ssi-ind-c-chen-serologicactive-2",
        "RelativePath": "/admin/state-machine/instances/ssi-ind-c-chen-serologicactive-2",
        "StateMachine": "lupus-nephritis-progression",
        "SubjectTableName": "Individuals",
        "SubjectId": "ind-c-chen",
        "StateKey": "SerologicActive",
        "EnteredAt": "2025-10-01T00:00:00Z",
        "ExitedAt": null,
        "SequenceIndex": 2,
        "PriorInstance": "ssi-ind-c-chen-presymptomaticautoimmunity-1",
        "EnteredViaTransition": "st-ind-c-chen-serologicactive-2",
        "DwellDays": 120,
        "CreatedBy": "v2-step3",
        "CreatedAt": "2026-06-20T00:00:00Z",
        "ModifiedBy": "v2-step3",
        "ModifiedAt": "2026-06-20T00:00:00Z",
        "ModifiedByModel": "claude-opus-4-8",
        "IsCurrent": true,
        "HasCompleteLineage": true,
        "IsLongDwell": true
      },
      {
        "SubjectStateInstanceId": "ssi-ind-d-santos-presymptomaticautoimmunity-1",
        "Name": "ssi-ind-d-santos-presymptomaticautoimmunity-1",
        "RelativePath": "/admin/state-machine/instances/ssi-ind-d-santos-presymptomaticautoimmunity-1",
        "StateMachine": "lupus-nephritis-progression",
        "SubjectTableName": "Individuals",
        "SubjectId": "ind-d-santos",
        "StateKey": "PresymptomaticAutoimmunity",
        "EnteredAt": "2025-06-01T00:00:00Z",
        "ExitedAt": "2025-09-01T00:00:00Z",
        "SequenceIndex": 1,
        "PriorInstance": null,
        "EnteredViaTransition": "st-ind-d-santos-presymptomaticautoimmunity-1",
        "DwellDays": 90,
        "CreatedBy": "v2-step3",
        "CreatedAt": "2026-06-20T00:00:00Z",
        "ModifiedBy": "v2-step3",
        "ModifiedAt": "2026-06-20T00:00:00Z",
        "ModifiedByModel": "claude-opus-4-8",
        "IsCurrent": false,
        "HasCompleteLineage": true,
        "IsLongDwell": true
      },
      {
        "SubjectStateInstanceId": "ssi-ind-d-santos-renalflarerisk-2",
        "Name": "ssi-ind-d-santos-renalflarerisk-2",
        "RelativePath": "/admin/state-machine/instances/ssi-ind-d-santos-renalflarerisk-2",
        "StateMachine": "lupus-nephritis-progression",
        "SubjectTableName": "Individuals",
        "SubjectId": "ind-d-santos",
        "StateKey": "RenalFlareRisk",
        "EnteredAt": "2025-09-01T00:00:00Z",
        "ExitedAt": "2025-12-01T00:00:00Z",
        "SequenceIndex": 2,
        "PriorInstance": "ssi-ind-d-santos-presymptomaticautoimmunity-1",
        "EnteredViaTransition": "st-ind-d-santos-renalflarerisk-2",
        "DwellDays": 90,
        "CreatedBy": "v2-step3",
        "CreatedAt": "2026-06-20T00:00:00Z",
        "ModifiedBy": "v2-step3",
        "ModifiedAt": "2026-06-20T00:00:00Z",
        "ModifiedByModel": "claude-opus-4-8",
        "IsCurrent": false,
        "HasCompleteLineage": true,
        "IsLongDwell": true
      },
      {
        "SubjectStateInstanceId": "ssi-ind-d-santos-biopsyindicated-3",
        "Name": "ssi-ind-d-santos-biopsyindicated-3",
        "RelativePath": "/admin/state-machine/instances/ssi-ind-d-santos-biopsyindicated-3",
        "StateMachine": "lupus-nephritis-progression",
        "SubjectTableName": "Individuals",
        "SubjectId": "ind-d-santos",
        "StateKey": "BiopsyIndicated",
        "EnteredAt": "2025-12-01T00:00:00Z",
        "ExitedAt": null,
        "SequenceIndex": 3,
        "PriorInstance": "ssi-ind-d-santos-renalflarerisk-2",
        "EnteredViaTransition": "st-ind-d-santos-biopsyindicated-3",
        "DwellDays": 120,
        "CreatedBy": "v2-step3",
        "CreatedAt": "2026-06-20T00:00:00Z",
        "ModifiedBy": "v2-step3",
        "ModifiedAt": "2026-06-20T00:00:00Z",
        "ModifiedByModel": "claude-opus-4-8",
        "IsCurrent": true,
        "HasCompleteLineage": true,
        "IsLongDwell": true
      },
      {
        "SubjectStateInstanceId": "ssi-ind-e-mensah-presymptomaticautoimmunity-1",
        "Name": "ssi-ind-e-mensah-presymptomaticautoimmunity-1",
        "RelativePath": "/admin/state-machine/instances/ssi-ind-e-mensah-presymptomaticautoimmunity-1",
        "StateMachine": "lupus-nephritis-progression",
        "SubjectTableName": "Individuals",
        "SubjectId": "ind-e-mensah",
        "StateKey": "PresymptomaticAutoimmunity",
        "EnteredAt": "2025-08-01T00:00:00Z",
        "ExitedAt": null,
        "SequenceIndex": 1,
        "PriorInstance": null,
        "EnteredViaTransition": "st-ind-e-mensah-presymptomaticautoimmunity-1",
        "DwellDays": 120,
        "CreatedBy": "v2-step3",
        "CreatedAt": "2026-06-20T00:00:00Z",
        "ModifiedBy": "v2-step3",
        "ModifiedAt": "2026-06-20T00:00:00Z",
        "ModifiedByModel": "claude-opus-4-8",
        "IsCurrent": true,
        "HasCompleteLineage": true,
        "IsLongDwell": true
      },
      {
        "SubjectStateInstanceId": "ssi-ind-f-haidar-presymptomaticautoimmunity-1",
        "Name": "ssi-ind-f-haidar-presymptomaticautoimmunity-1",
        "RelativePath": "/admin/state-machine/instances/ssi-ind-f-haidar-presymptomaticautoimmunity-1",
        "StateMachine": "lupus-nephritis-progression",
        "SubjectTableName": "Individuals",
        "SubjectId": "ind-f-haidar",
        "StateKey": "PresymptomaticAutoimmunity",
        "EnteredAt": "2025-09-10T00:00:00Z",
        "ExitedAt": null,
        "SequenceIndex": 1,
        "PriorInstance": null,
        "EnteredViaTransition": "st-ind-f-haidar-presymptomaticautoimmunity-1",
        "DwellDays": 120,
        "CreatedBy": "v2-step3",
        "CreatedAt": "2026-06-20T00:00:00Z",
        "ModifiedBy": "v2-step3",
        "ModifiedAt": "2026-06-20T00:00:00Z",
        "ModifiedByModel": "claude-opus-4-8",
        "IsCurrent": true,
        "HasCompleteLineage": true,
        "IsLongDwell": true
      },
      {
        "SubjectStateInstanceId": "ssi-ind-g-lin-presymptomaticautoimmunity-1",
        "Name": "ssi-ind-g-lin-presymptomaticautoimmunity-1",
        "RelativePath": "/admin/state-machine/instances/ssi-ind-g-lin-presymptomaticautoimmunity-1",
        "StateMachine": "lupus-nephritis-progression",
        "SubjectTableName": "Individuals",
        "SubjectId": "ind-g-lin",
        "StateKey": "PresymptomaticAutoimmunity",
        "EnteredAt": "2025-09-05T00:00:00Z",
        "ExitedAt": null,
        "SequenceIndex": 1,
        "PriorInstance": null,
        "EnteredViaTransition": "st-ind-g-lin-presymptomaticautoimmunity-1",
        "DwellDays": 120,
        "CreatedBy": "v2-step3",
        "CreatedAt": "2026-06-20T00:00:00Z",
        "ModifiedBy": "v2-step3",
        "ModifiedAt": "2026-06-20T00:00:00Z",
        "ModifiedByModel": "claude-opus-4-8",
        "IsCurrent": true,
        "HasCompleteLineage": true,
        "IsLongDwell": true
      },
      {
        "SubjectStateInstanceId": "ssi-ind-h-yamamoto-presymptomaticautoimmunity-1",
        "Name": "ssi-ind-h-yamamoto-presymptomaticautoimmunity-1",
        "RelativePath": "/admin/state-machine/instances/ssi-ind-h-yamamoto-presymptomaticautoimmunity-1",
        "StateMachine": "lupus-nephritis-progression",
        "SubjectTableName": "Individuals",
        "SubjectId": "ind-h-yamamoto",
        "StateKey": "PresymptomaticAutoimmunity",
        "EnteredAt": "2025-07-20T00:00:00Z",
        "ExitedAt": "2025-10-20T00:00:00Z",
        "SequenceIndex": 1,
        "PriorInstance": null,
        "EnteredViaTransition": "st-ind-h-yamamoto-presymptomaticautoimmunity-1",
        "DwellDays": 90,
        "CreatedBy": "v2-step3",
        "CreatedAt": "2026-06-20T00:00:00Z",
        "ModifiedBy": "v2-step3",
        "ModifiedAt": "2026-06-20T00:00:00Z",
        "ModifiedByModel": "claude-opus-4-8",
        "IsCurrent": false,
        "HasCompleteLineage": true,
        "IsLongDwell": true
      },
      {
        "SubjectStateInstanceId": "ssi-ind-h-yamamoto-earlynephritis-2",
        "Name": "ssi-ind-h-yamamoto-earlynephritis-2",
        "RelativePath": "/admin/state-machine/instances/ssi-ind-h-yamamoto-earlynephritis-2",
        "StateMachine": "lupus-nephritis-progression",
        "SubjectTableName": "Individuals",
        "SubjectId": "ind-h-yamamoto",
        "StateKey": "EarlyNephritis",
        "EnteredAt": "2025-10-20T00:00:00Z",
        "ExitedAt": null,
        "SequenceIndex": 2,
        "PriorInstance": "ssi-ind-h-yamamoto-presymptomaticautoimmunity-1",
        "EnteredViaTransition": "st-ind-h-yamamoto-earlynephritis-2",
        "DwellDays": 120,
        "CreatedBy": "v2-step3",
        "CreatedAt": "2026-06-20T00:00:00Z",
        "ModifiedBy": "v2-step3",
        "ModifiedAt": "2026-06-20T00:00:00Z",
        "ModifiedByModel": "claude-opus-4-8",
        "IsCurrent": true,
        "HasCompleteLineage": true,
        "IsLongDwell": true
      },
      {
        "SubjectStateInstanceId": "ssi-pred-h-intake-1",
        "Name": "ssi-pred-h-intake-1",
        "RelativePath": "/admin/state-machine/instances/ssi-pred-h-intake-1",
        "StateMachine": "diagnosis-lifecycle",
        "SubjectTableName": "IndividualPredictions",
        "SubjectId": "pred-h",
        "StateKey": "Intake",
        "EnteredAt": "2026-06-02T09:00:00Z",
        "ExitedAt": "2026-06-03T09:00:00Z",
        "SequenceIndex": 1,
        "PriorInstance": null,
        "EnteredViaTransition": "st-pred-h-intake-1",
        "DwellDays": 1,
        "CreatedBy": "v2-step10",
        "CreatedAt": "2026-06-20T00:00:00Z",
        "ModifiedBy": "v2-step10",
        "ModifiedAt": "2026-06-20T00:00:00Z",
        "ModifiedByModel": "claude-opus-4-8",
        "IsCurrent": false,
        "HasCompleteLineage": true,
        "IsLongDwell": false
      },
      {
        "SubjectStateInstanceId": "ssi-pred-h-evidenceassessed-2",
        "Name": "ssi-pred-h-evidenceassessed-2",
        "RelativePath": "/admin/state-machine/instances/ssi-pred-h-evidenceassessed-2",
        "StateMachine": "diagnosis-lifecycle",
        "SubjectTableName": "IndividualPredictions",
        "SubjectId": "pred-h",
        "StateKey": "EvidenceAssessed",
        "EnteredAt": "2026-06-03T09:00:00Z",
        "ExitedAt": "2026-06-04T09:00:00Z",
        "SequenceIndex": 2,
        "PriorInstance": "ssi-pred-h-intake-1",
        "EnteredViaTransition": "st-pred-h-evidenceassessed-2",
        "DwellDays": 1,
        "CreatedBy": "v2-step10",
        "CreatedAt": "2026-06-20T00:00:00Z",
        "ModifiedBy": "v2-step10",
        "ModifiedAt": "2026-06-20T00:00:00Z",
        "ModifiedByModel": "claude-opus-4-8",
        "IsCurrent": false,
        "HasCompleteLineage": true,
        "IsLongDwell": false
      },
      {
        "SubjectStateInstanceId": "ssi-pred-h-mechanismconfirmed-3",
        "Name": "ssi-pred-h-mechanismconfirmed-3",
        "RelativePath": "/admin/state-machine/instances/ssi-pred-h-mechanismconfirmed-3",
        "StateMachine": "diagnosis-lifecycle",
        "SubjectTableName": "IndividualPredictions",
        "SubjectId": "pred-h",
        "StateKey": "MechanismConfirmed",
        "EnteredAt": "2026-06-04T09:00:00Z",
        "ExitedAt": "2026-06-05T09:00:00Z",
        "SequenceIndex": 3,
        "PriorInstance": "ssi-pred-h-evidenceassessed-2",
        "EnteredViaTransition": "st-pred-h-mechanismconfirmed-3",
        "DwellDays": 1,
        "CreatedBy": "v2-step10",
        "CreatedAt": "2026-06-20T00:00:00Z",
        "ModifiedBy": "v2-step10",
        "ModifiedAt": "2026-06-20T00:00:00Z",
        "ModifiedByModel": "claude-opus-4-8",
        "IsCurrent": false,
        "HasCompleteLineage": true,
        "IsLongDwell": false
      },
      {
        "SubjectStateInstanceId": "ssi-pred-h-calibrationchecked-4",
        "Name": "ssi-pred-h-calibrationchecked-4",
        "RelativePath": "/admin/state-machine/instances/ssi-pred-h-calibrationchecked-4",
        "StateMachine": "diagnosis-lifecycle",
        "SubjectTableName": "IndividualPredictions",
        "SubjectId": "pred-h",
        "StateKey": "CalibrationChecked",
        "EnteredAt": "2026-06-05T09:00:00Z",
        "ExitedAt": "2026-06-06T09:00:00Z",
        "SequenceIndex": 4,
        "PriorInstance": "ssi-pred-h-mechanismconfirmed-3",
        "EnteredViaTransition": "st-pred-h-calibrationchecked-4",
        "DwellDays": 1,
        "CreatedBy": "v2-step10",
        "CreatedAt": "2026-06-20T00:00:00Z",
        "ModifiedBy": "v2-step10",
        "ModifiedAt": "2026-06-20T00:00:00Z",
        "ModifiedByModel": "claude-opus-4-8",
        "IsCurrent": false,
        "HasCompleteLineage": true,
        "IsLongDwell": false
      },
      {
        "SubjectStateInstanceId": "ssi-pred-h-transportchecked-5",
        "Name": "ssi-pred-h-transportchecked-5",
        "RelativePath": "/admin/state-machine/instances/ssi-pred-h-transportchecked-5",
        "StateMachine": "diagnosis-lifecycle",
        "SubjectTableName": "IndividualPredictions",
        "SubjectId": "pred-h",
        "StateKey": "TransportChecked",
        "EnteredAt": "2026-06-06T09:00:00Z",
        "ExitedAt": "2026-06-07T09:00:00Z",
        "SequenceIndex": 5,
        "PriorInstance": "ssi-pred-h-calibrationchecked-4",
        "EnteredViaTransition": "st-pred-h-transportchecked-5",
        "DwellDays": 1,
        "CreatedBy": "v2-step10",
        "CreatedAt": "2026-06-20T00:00:00Z",
        "ModifiedBy": "v2-step10",
        "ModifiedAt": "2026-06-20T00:00:00Z",
        "ModifiedByModel": "claude-opus-4-8",
        "IsCurrent": false,
        "HasCompleteLineage": true,
        "IsLongDwell": false
      },
      {
        "SubjectStateInstanceId": "ssi-pred-h-actionable-6",
        "Name": "ssi-pred-h-actionable-6",
        "RelativePath": "/admin/state-machine/instances/ssi-pred-h-actionable-6",
        "StateMachine": "diagnosis-lifecycle",
        "SubjectTableName": "IndividualPredictions",
        "SubjectId": "pred-h",
        "StateKey": "Actionable",
        "EnteredAt": "2026-06-07T09:00:00Z",
        "ExitedAt": null,
        "SequenceIndex": 6,
        "PriorInstance": "ssi-pred-h-transportchecked-5",
        "EnteredViaTransition": "st-pred-h-actionable-6",
        "DwellDays": 1,
        "CreatedBy": "v2-step10",
        "CreatedAt": "2026-06-20T00:00:00Z",
        "ModifiedBy": "v2-step10",
        "ModifiedAt": "2026-06-20T00:00:00Z",
        "ModifiedByModel": "claude-opus-4-8",
        "IsCurrent": true,
        "HasCompleteLineage": true,
        "IsLongDwell": false
      },
      {
        "SubjectStateInstanceId": "ssi-ind-i-conteh-earlynephritis-1",
        "Name": "ssi-ind-i-conteh-earlynephritis-1",
        "RelativePath": "/admin/state-machine/instances/ssi-ind-i-conteh-earlynephritis-1",
        "StateMachine": "lupus-nephritis-progression",
        "SubjectTableName": "Individuals",
        "SubjectId": "ind-i-conteh",
        "StateKey": "EarlyNephritis",
        "EnteredAt": "2025-06-15T00:00:00Z",
        "ExitedAt": "2025-09-15T00:00:00Z",
        "SequenceIndex": 1,
        "PriorInstance": null,
        "EnteredViaTransition": "st-ind-i-conteh-earlynephritis-1",
        "DwellDays": 90,
        "CreatedBy": "v2-step3",
        "CreatedAt": "2026-06-20T00:00:00Z",
        "ModifiedBy": "v2-step3",
        "ModifiedAt": "2026-06-20T00:00:00Z",
        "ModifiedByModel": "claude-opus-4-8",
        "IsCurrent": false,
        "HasCompleteLineage": true,
        "IsLongDwell": true
      },
      {
        "SubjectStateInstanceId": "ssi-ind-i-conteh-renalflarerisk-2",
        "Name": "ssi-ind-i-conteh-renalflarerisk-2",
        "RelativePath": "/admin/state-machine/instances/ssi-ind-i-conteh-renalflarerisk-2",
        "StateMachine": "lupus-nephritis-progression",
        "SubjectTableName": "Individuals",
        "SubjectId": "ind-i-conteh",
        "StateKey": "RenalFlareRisk",
        "EnteredAt": "2025-09-15T00:00:00Z",
        "ExitedAt": null,
        "SequenceIndex": 2,
        "PriorInstance": "ssi-ind-i-conteh-earlynephritis-1",
        "EnteredViaTransition": "st-ind-i-conteh-renalflarerisk-2",
        "DwellDays": 120,
        "CreatedBy": "v2-step3",
        "CreatedAt": "2026-06-20T00:00:00Z",
        "ModifiedBy": "v2-step3",
        "ModifiedAt": "2026-06-20T00:00:00Z",
        "ModifiedByModel": "claude-opus-4-8",
        "IsCurrent": true,
        "HasCompleteLineage": true,
        "IsLongDwell": true
      },
      {
        "SubjectStateInstanceId": "ssi-pred-i-intake-1",
        "Name": "ssi-pred-i-intake-1",
        "RelativePath": "/admin/state-machine/instances/ssi-pred-i-intake-1",
        "StateMachine": "diagnosis-lifecycle",
        "SubjectTableName": "IndividualPredictions",
        "SubjectId": "pred-i",
        "StateKey": "Intake",
        "EnteredAt": "2026-06-02T09:00:00Z",
        "ExitedAt": "2026-06-03T09:00:00Z",
        "SequenceIndex": 1,
        "PriorInstance": null,
        "EnteredViaTransition": "st-pred-i-intake-1",
        "DwellDays": 1,
        "CreatedBy": "v2-step10",
        "CreatedAt": "2026-06-20T00:00:00Z",
        "ModifiedBy": "v2-step10",
        "ModifiedAt": "2026-06-20T00:00:00Z",
        "ModifiedByModel": "claude-opus-4-8",
        "IsCurrent": false,
        "HasCompleteLineage": true,
        "IsLongDwell": false
      },
      {
        "SubjectStateInstanceId": "ssi-pred-i-evidenceassessed-2",
        "Name": "ssi-pred-i-evidenceassessed-2",
        "RelativePath": "/admin/state-machine/instances/ssi-pred-i-evidenceassessed-2",
        "StateMachine": "diagnosis-lifecycle",
        "SubjectTableName": "IndividualPredictions",
        "SubjectId": "pred-i",
        "StateKey": "EvidenceAssessed",
        "EnteredAt": "2026-06-03T09:00:00Z",
        "ExitedAt": "2026-06-04T09:00:00Z",
        "SequenceIndex": 2,
        "PriorInstance": "ssi-pred-i-intake-1",
        "EnteredViaTransition": "st-pred-i-evidenceassessed-2",
        "DwellDays": 1,
        "CreatedBy": "v2-step10",
        "CreatedAt": "2026-06-20T00:00:00Z",
        "ModifiedBy": "v2-step10",
        "ModifiedAt": "2026-06-20T00:00:00Z",
        "ModifiedByModel": "claude-opus-4-8",
        "IsCurrent": false,
        "HasCompleteLineage": true,
        "IsLongDwell": false
      },
      {
        "SubjectStateInstanceId": "ssi-pred-i-mechanismconfirmed-3",
        "Name": "ssi-pred-i-mechanismconfirmed-3",
        "RelativePath": "/admin/state-machine/instances/ssi-pred-i-mechanismconfirmed-3",
        "StateMachine": "diagnosis-lifecycle",
        "SubjectTableName": "IndividualPredictions",
        "SubjectId": "pred-i",
        "StateKey": "MechanismConfirmed",
        "EnteredAt": "2026-06-04T09:00:00Z",
        "ExitedAt": "2026-06-05T09:00:00Z",
        "SequenceIndex": 3,
        "PriorInstance": "ssi-pred-i-evidenceassessed-2",
        "EnteredViaTransition": "st-pred-i-mechanismconfirmed-3",
        "DwellDays": 1,
        "CreatedBy": "v2-step10",
        "CreatedAt": "2026-06-20T00:00:00Z",
        "ModifiedBy": "v2-step10",
        "ModifiedAt": "2026-06-20T00:00:00Z",
        "ModifiedByModel": "claude-opus-4-8",
        "IsCurrent": false,
        "HasCompleteLineage": true,
        "IsLongDwell": false
      },
      {
        "SubjectStateInstanceId": "ssi-pred-i-notactionable-4",
        "Name": "ssi-pred-i-notactionable-4",
        "RelativePath": "/admin/state-machine/instances/ssi-pred-i-notactionable-4",
        "StateMachine": "diagnosis-lifecycle",
        "SubjectTableName": "IndividualPredictions",
        "SubjectId": "pred-i",
        "StateKey": "NotActionable",
        "EnteredAt": "2026-06-05T09:00:00Z",
        "ExitedAt": null,
        "SequenceIndex": 4,
        "PriorInstance": "ssi-pred-i-mechanismconfirmed-3",
        "EnteredViaTransition": "st-pred-i-notactionable-4",
        "DwellDays": 1,
        "CreatedBy": "v2-step10",
        "CreatedAt": "2026-06-20T00:00:00Z",
        "ModifiedBy": "v2-step10",
        "ModifiedAt": "2026-06-20T00:00:00Z",
        "ModifiedByModel": "claude-opus-4-8",
        "IsCurrent": true,
        "HasCompleteLineage": true,
        "IsLongDwell": false
      },
      {
        "SubjectStateInstanceId": "ssi-ind-j-brooks-presymptomaticautoimmunity-1",
        "Name": "ssi-ind-j-brooks-presymptomaticautoimmunity-1",
        "RelativePath": "/admin/state-machine/instances/ssi-ind-j-brooks-presymptomaticautoimmunity-1",
        "StateMachine": "lupus-nephritis-progression",
        "SubjectTableName": "Individuals",
        "SubjectId": "ind-j-brooks",
        "StateKey": "PresymptomaticAutoimmunity",
        "EnteredAt": "2025-08-01T00:00:00Z",
        "ExitedAt": "2025-11-01T00:00:00Z",
        "SequenceIndex": 1,
        "PriorInstance": null,
        "EnteredViaTransition": "st-ind-j-brooks-presymptomaticautoimmunity-1",
        "DwellDays": 90,
        "CreatedBy": "v2-step10",
        "CreatedAt": "2026-06-20T00:00:00Z",
        "ModifiedBy": "v2-step10",
        "ModifiedAt": "2026-06-20T00:00:00Z",
        "ModifiedByModel": "claude-opus-4-8",
        "IsCurrent": false,
        "HasCompleteLineage": true,
        "IsLongDwell": true
      },
      {
        "SubjectStateInstanceId": "ssi-ind-j-brooks-serologicactive-2",
        "Name": "ssi-ind-j-brooks-serologicactive-2",
        "RelativePath": "/admin/state-machine/instances/ssi-ind-j-brooks-serologicactive-2",
        "StateMachine": "lupus-nephritis-progression",
        "SubjectTableName": "Individuals",
        "SubjectId": "ind-j-brooks",
        "StateKey": "SerologicActive",
        "EnteredAt": "2025-11-01T00:00:00Z",
        "ExitedAt": null,
        "SequenceIndex": 2,
        "PriorInstance": "ssi-ind-j-brooks-presymptomaticautoimmunity-1",
        "EnteredViaTransition": "st-ind-j-brooks-serologicactive-2",
        "DwellDays": 120,
        "CreatedBy": "v2-step10",
        "CreatedAt": "2026-06-20T00:00:00</t>
  </si>
  <si>
    <t xml:space="preserve">Z",
        "ModifiedBy": "v2-step10",
        "ModifiedAt": "2026-06-20T00:00:00Z",
        "ModifiedByModel": "claude-opus-4-8",
        "IsCurrent": true,
        "HasCompleteLineage": true,
        "IsLongDwell": true
      },
      {
        "SubjectStateInstanceId": "ssi-pred-j-intake-1",
        "Name": "ssi-pred-j-intake-1",
        "RelativePath": "/admin/state-machine/instances/ssi-pred-j-intake-1",
        "StateMachine": "diagnosis-lifecycle",
        "SubjectTableName": "IndividualPredictions",
        "SubjectId": "pred-j",
        "StateKey": "Intake",
        "EnteredAt": "2026-06-02T09:00:00Z",
        "ExitedAt": "2026-06-03T09:00:00Z",
        "SequenceIndex": 1,
        "PriorInstance": null,
        "EnteredViaTransition": "st-pred-j-intake-1",
        "DwellDays": 1,
        "CreatedBy": "v2-step10",
        "CreatedAt": "2026-06-20T00:00:00Z",
        "ModifiedBy": "v2-step10",
        "ModifiedAt": "2026-06-20T00:00:00Z",
        "ModifiedByModel": "claude-opus-4-8",
        "IsCurrent": false,
        "HasCompleteLineage": true,
        "IsLongDwell": false
      },
      {
        "SubjectStateInstanceId": "ssi-pred-j-evidenceassessed-2",
        "Name": "ssi-pred-j-evidenceassessed-2",
        "RelativePath": "/admin/state-machine/instances/ssi-pred-j-evidenceassessed-2",
        "StateMachine": "diagnosis-lifecycle",
        "SubjectTableName": "IndividualPredictions",
        "SubjectId": "pred-j",
        "StateKey": "EvidenceAssessed",
        "EnteredAt": "2026-06-03T09:00:00Z",
        "ExitedAt": "2026-06-04T09:00:00Z",
        "SequenceIndex": 2,
        "PriorInstance": "ssi-pred-j-intake-1",
        "EnteredViaTransition": "st-pred-j-evidenceassessed-2",
        "DwellDays": 1,
        "CreatedBy": "v2-step10",
        "CreatedAt": "2026-06-20T00:00:00Z",
        "ModifiedBy": "v2-step10",
        "ModifiedAt": "2026-06-20T00:00:00Z",
        "ModifiedByModel": "claude-opus-4-8",
        "IsCurrent": false,
        "HasCompleteLineage": true,
        "IsLongDwell": false
      },
      {
        "SubjectStateInstanceId": "ssi-pred-j-mechanismconfirmed-3",
        "Name": "ssi-pred-j-mechanismconfirmed-3",
        "RelativePath": "/admin/state-machine/instances/ssi-pred-j-mechanismconfirmed-3",
        "StateMachine": "diagnosis-lifecycle",
        "SubjectTableName": "IndividualPredictions",
        "SubjectId": "pred-j",
        "StateKey": "MechanismConfirmed",
        "EnteredAt": "2026-06-04T09:00:00Z",
        "ExitedAt": "2026-06-05T09:00:00Z",
        "SequenceIndex": 3,
        "PriorInstance": "ssi-pred-j-evidenceassessed-2",
        "EnteredViaTransition": "st-pred-j-mechanismconfirmed-3",
        "DwellDays": 1,
        "CreatedBy": "v2-step10",
        "CreatedAt": "2026-06-20T00:00:00Z",
        "ModifiedBy": "v2-step10",
        "ModifiedAt": "2026-06-20T00:00:00Z",
        "ModifiedByModel": "claude-opus-4-8",
        "IsCurrent": false,
        "HasCompleteLineage": true,
        "IsLongDwell": false
      },
      {
        "SubjectStateInstanceId": "ssi-pred-j-calibrationchecked-4",
        "Name": "ssi-pred-j-calibrationchecked-4",
        "RelativePath": "/admin/state-machine/instances/ssi-pred-j-calibrationchecked-4",
        "StateMachine": "diagnosis-lifecycle",
        "SubjectTableName": "IndividualPredictions",
        "SubjectId": "pred-j",
        "StateKey": "CalibrationChecked",
        "EnteredAt": "2026-06-05T09:00:00Z",
        "ExitedAt": "2026-06-06T09:00:00Z",
        "SequenceIndex": 4,
        "PriorInstance": "ssi-pred-j-mechanismconfirmed-3",
        "EnteredViaTransition": "st-pred-j-calibrationchecked-4",
        "DwellDays": 1,
        "CreatedBy": "v2-step10",
        "CreatedAt": "2026-06-20T00:00:00Z",
        "ModifiedBy": "v2-step10",
        "ModifiedAt": "2026-06-20T00:00:00Z",
        "ModifiedByModel": "claude-opus-4-8",
        "IsCurrent": false,
        "HasCompleteLineage": true,
        "IsLongDwell": false
      },
      {
        "SubjectStateInstanceId": "ssi-pred-j-notactionable-5",
        "Name": "ssi-pred-j-notactionable-5",
        "RelativePath": "/admin/state-machine/instances/ssi-pred-j-notactionable-5",
        "StateMachine": "diagnosis-lifecycle",
        "SubjectTableName": "IndividualPredictions",
        "SubjectId": "pred-j",
        "StateKey": "NotActionable",
        "EnteredAt": "2026-06-06T09:00:00Z",
        "ExitedAt": null,
        "SequenceIndex": 5,
        "PriorInstance": "ssi-pred-j-calibrationchecked-4",
        "EnteredViaTransition": "st-pred-j-notactionable-5",
        "DwellDays": 1,
        "CreatedBy": "v2-step10",
        "CreatedAt": "2026-06-20T00:00:00Z",
        "ModifiedBy": "v2-step10",
        "ModifiedAt": "2026-06-20T00:00:00Z",
        "ModifiedByModel": "claude-opus-4-8",
        "IsCurrent": true,
        "HasCompleteLineage": true,
        "IsLongDwell": false
      },
      {
        "SubjectStateInstanceId": "ssi-ind-k-nair-presymptomaticautoimmunity-1",
        "Name": "ssi-ind-k-nair-presymptomaticautoimmunity-1",
        "RelativePath": "/admin/state-machine/instances/ssi-ind-k-nair-presymptomaticautoimmunity-1",
        "StateMachine": "lupus-nephritis-progression",
        "SubjectTableName": "Individuals",
        "SubjectId": "ind-k-nair",
        "StateKey": "PresymptomaticAutoimmunity",
        "EnteredAt": "2025-07-05T00:00:00Z",
        "ExitedAt": null,
        "SequenceIndex": 1,
        "PriorInstance": null,
        "EnteredViaTransition": "st-ind-k-nair-presymptomaticautoimmunity-1",
        "DwellDays": 120,
        "CreatedBy": "v2-step10",
        "CreatedAt": "2026-06-20T00:00:00Z",
        "ModifiedBy": "v2-step10",
        "ModifiedAt": "2026-06-20T00:00:00Z",
        "ModifiedByModel": "claude-opus-4-8",
        "IsCurrent": true,
        "HasCompleteLineage": true,
        "IsLongDwell": true
      },
      {
        "SubjectStateInstanceId": "ssi-pred-k-intake-1",
        "Name": "ssi-pred-k-intake-1",
        "RelativePath": "/admin/state-machine/instances/ssi-pred-k-intake-1",
        "StateMachine": "diagnosis-lifecycle",
        "SubjectTableName": "IndividualPredictions",
        "SubjectId": "pred-k",
        "StateKey": "Intake",
        "EnteredAt": "2026-06-02T09:00:00Z",
        "ExitedAt": "2026-06-03T09:00:00Z",
        "SequenceIndex": 1,
        "PriorInstance": null,
        "EnteredViaTransition": "st-pred-k-intake-1",
        "DwellDays": 1,
        "CreatedBy": "v2-step10",
        "CreatedAt": "2026-06-20T00:00:00Z",
        "ModifiedBy": "v2-step10",
        "ModifiedAt": "2026-06-20T00:00:00Z",
        "ModifiedByModel": "claude-opus-4-8",
        "IsCurrent": false,
        "HasCompleteLineage": true,
        "IsLongDwell": false
      },
      {
        "SubjectStateInstanceId": "ssi-pred-k-evidenceassessed-2",
        "Name": "ssi-pred-k-evidenceassessed-2",
        "RelativePath": "/admin/state-machine/instances/ssi-pred-k-evidenceassessed-2",
        "StateMachine": "diagnosis-lifecycle",
        "SubjectTableName": "IndividualPredictions",
        "SubjectId": "pred-k",
        "StateKey": "EvidenceAssessed",
        "EnteredAt": "2026-06-03T09:00:00Z",
        "ExitedAt": "2026-06-04T09:00:00Z",
        "SequenceIndex": 2,
        "PriorInstance": "ssi-pred-k-intake-1",
        "EnteredViaTransition": "st-pred-k-evidenceassessed-2",
        "DwellDays": 1,
        "CreatedBy": "v2-step10",
        "CreatedAt": "2026-06-20T00:00:00Z",
        "ModifiedBy": "v2-step10",
        "ModifiedAt": "2026-06-20T00:00:00Z",
        "ModifiedByModel": "claude-opus-4-8",
        "IsCurrent": false,
        "HasCompleteLineage": true,
        "IsLongDwell": false
      },
      {
        "SubjectStateInstanceId": "ssi-pred-k-mechanismconfirmed-3",
        "Name": "ssi-pred-k-mechanismconfirmed-3",
        "RelativePath": "/admin/state-machine/instances/ssi-pred-k-mechanismconfirmed-3",
        "StateMachine": "diagnosis-lifecycle",
        "SubjectTableName": "IndividualPredictions",
        "SubjectId": "pred-k",
        "StateKey": "MechanismConfirmed",
        "EnteredAt": "2026-06-04T09:00:00Z",
        "ExitedAt": "2026-06-05T09:00:00Z",
        "SequenceIndex": 3,
        "PriorInstance": "ssi-pred-k-evidenceassessed-2",
        "EnteredViaTransition": "st-pred-k-mechanismconfirmed-3",
        "DwellDays": 1,
        "CreatedBy": "v2-step10",
        "CreatedAt": "2026-06-20T00:00:00Z",
        "ModifiedBy": "v2-step10",
        "ModifiedAt": "2026-06-20T00:00:00Z",
        "ModifiedByModel": "claude-opus-4-8",
        "IsCurrent": false,
        "HasCompleteLineage": true,
        "IsLongDwell": false
      },
      {
        "SubjectStateInstanceId": "ssi-pred-k-calibrationchecked-4",
        "Name": "ssi-pred-k-calibrationchecked-4",
        "RelativePath": "/admin/state-machine/instances/ssi-pred-k-calibrationchecked-4",
        "StateMachine": "diagnosis-lifecycle",
        "SubjectTableName": "IndividualPredictions",
        "SubjectId": "pred-k",
        "StateKey": "CalibrationChecked",
        "EnteredAt": "2026-06-05T09:00:00Z",
        "ExitedAt": "2026-06-06T09:00:00Z",
        "SequenceIndex": 4,
        "PriorInstance": "ssi-pred-k-mechanismconfirmed-3",
        "EnteredViaTransition": "st-pred-k-calibrationchecked-4",
        "DwellDays": 1,
        "CreatedBy": "v2-step10",
        "CreatedAt": "2026-06-20T00:00:00Z",
        "ModifiedBy": "v2-step10",
        "ModifiedAt": "2026-06-20T00:00:00Z",
        "ModifiedByModel": "claude-opus-4-8",
        "IsCurrent": false,
        "HasCompleteLineage": true,
        "IsLongDwell": false
      },
      {
        "SubjectStateInstanceId": "ssi-pred-k-transportchecked-5",
        "Name": "ssi-pred-k-transportchecked-5",
        "RelativePath": "/admin/state-machine/instances/ssi-pred-k-transportchecked-5",
        "StateMachine": "diagnosis-lifecycle",
        "SubjectTableName": "IndividualPredictions",
        "SubjectId": "pred-k",
        "StateKey": "TransportChecked",
        "EnteredAt": "2026-06-06T09:00:00Z",
        "ExitedAt": "2026-06-07T09:00:00Z",
        "SequenceIndex": 5,
        "PriorInstance": "ssi-pred-k-calibrationchecked-4",
        "EnteredViaTransition": "st-pred-k-transportchecked-5",
        "DwellDays": 1,
        "CreatedBy": "v2-step10",
        "CreatedAt": "2026-06-20T00:00:00Z",
        "ModifiedBy": "v2-step10",
        "ModifiedAt": "2026-06-20T00:00:00Z",
        "ModifiedByModel": "claude-opus-4-8",
        "IsCurrent": false,
        "HasCompleteLineage": true,
        "IsLongDwell": false
      },
      {
        "SubjectStateInstanceId": "ssi-pred-k-notactionable-6",
        "Name": "ssi-pred-k-notactionable-6",
        "RelativePath": "/admin/state-machine/instances/ssi-pred-k-notactionable-6",
        "StateMachine": "diagnosis-lifecycle",
        "SubjectTableName": "IndividualPredictions",
        "SubjectId": "pred-k",
        "StateKey": "NotActionable",
        "EnteredAt": "2026-06-07T09:00:00Z",
        "ExitedAt": null,
        "SequenceIndex": 6,
        "PriorInstance": "ssi-pred-k-transportchecked-5",
        "EnteredViaTransition": "st-pred-k-notactionable-6",
        "DwellDays": 1,
        "CreatedBy": "v2-step10",
        "CreatedAt": "2026-06-20T00:00:00Z",
        "ModifiedBy": "v2-step10",
        "ModifiedAt": "2026-06-20T00:00:00Z",
        "ModifiedByModel": "claude-opus-4-8",
        "IsCurrent": true,
        "HasCompleteLineage": true,
        "IsLongDwell": false
      },
      {
        "SubjectStateInstanceId": "ssi-ind-l-brandt-presymptomaticautoimmunity-1",
        "Name": "ssi-ind-l-brandt-presymptomaticautoimmunity-1",
        "RelativePath": "/admin/state-machine/instances/ssi-ind-l-brandt-presymptomaticautoimmunity-1",
        "StateMachine": "lupus-nephritis-progression",
        "SubjectTableName": "Individuals",
        "SubjectId": "ind-l-brandt",
        "StateKey": "PresymptomaticAutoimmunity",
        "EnteredAt": "2025-09-05T00:00:00Z",
        "ExitedAt": null,
        "SequenceIndex": 1,
        "PriorInstance": null,
        "EnteredViaTransition": "st-ind-l-brandt-presymptomaticautoimmunity-1",
        "DwellDays": 120,
        "CreatedBy": "v2-step10",
        "CreatedAt": "2026-06-20T00:00:00Z",
        "ModifiedBy": "v2-step10",
        "ModifiedAt": "2026-06-20T00:00:00Z",
        "ModifiedByModel": "claude-opus-4-8",
        "IsCurrent": true,
        "HasCompleteLineage": true,
        "IsLongDwell": true
      },
      {
        "SubjectStateInstanceId": "ssi-pred-l-intake-1",
        "Name": "ssi-pred-l-intake-1",
        "RelativePath": "/admin/state-machine/instances/ssi-pred-l-intake-1",
        "StateMachine": "diagnosis-lifecycle",
        "SubjectTableName": "IndividualPredictions",
        "SubjectId": "pred-l",
        "StateKey": "Intake",
        "EnteredAt": "2026-06-02T09:00:00Z",
        "ExitedAt": "2026-06-03T09:00:00Z",
        "SequenceIndex": 1,
        "PriorInstance": null,
        "EnteredViaTransition": "st-pred-l-intake-1",
        "DwellDays": 1,
        "CreatedBy": "v2-step10",
        "CreatedAt": "2026-06-20T00:00:00Z",
        "ModifiedBy": "v2-step10",
        "ModifiedAt": "2026-06-20T00:00:00Z",
        "ModifiedByModel": "claude-opus-4-8",
        "IsCurrent": false,
        "HasCompleteLineage": true,
        "IsLongDwell": false
      },
      {
        "SubjectStateInstanceId": "ssi-pred-l-evidenceassessed-2",
        "Name": "ssi-pred-l-evidenceassessed-2",
        "RelativePath": "/admin/state-machine/instances/ssi-pred-l-evidenceassessed-2",
        "StateMachine": "diagnosis-lifecycle",
        "SubjectTableName": "IndividualPredictions",
        "SubjectId": "pred-l",
        "StateKey": "EvidenceAssessed",
        "EnteredAt": "2026-06-03T09:00:00Z",
        "ExitedAt": "2026-06-04T09:00:00Z",
        "SequenceIndex": 2,
        "PriorInstance": "ssi-pred-l-intake-1",
        "EnteredViaTransition": "st-pred-l-evidenceassessed-2",
        "DwellDays": 1,
        "CreatedBy": "v2-step10",
        "CreatedAt": "2026-06-20T00:00:00Z",
        "ModifiedBy": "v2-step10",
        "ModifiedAt": "2026-06-20T00:00:00Z",
        "ModifiedByModel": "claude-opus-4-8",
        "IsCurrent": false,
        "HasCompleteLineage": true,
        "IsLongDwell": false
      },
      {
        "SubjectStateInstanceId": "ssi-pred-l-mechanismconfirmed-3",
        "Name": "ssi-pred-l-mechanismconfirmed-3",
        "RelativePath": "/admin/state-machine/instances/ssi-pred-l-mechanismconfirmed-3",
        "StateMachine": "diagnosis-lifecycle",
        "SubjectTableName": "IndividualPredictions",
        "SubjectId": "pred-l",
        "StateKey": "MechanismConfirmed",
        "EnteredAt": "2026-06-04T09:00:00Z",
        "ExitedAt": "2026-06-05T09:00:00Z",
        "SequenceIndex": 3,
        "PriorInstance": "ssi-pred-l-evidenceassessed-2",
        "EnteredViaTransition": "st-pred-l-mechanismconfirmed-3",
        "DwellDays": 1,
        "CreatedBy": "v2-step10",
        "CreatedAt": "2026-06-20T00:00:00Z",
        "ModifiedBy": "v2-step10",
        "ModifiedAt": "2026-06-20T00:00:00Z",
        "ModifiedByModel": "claude-opus-4-8",
        "IsCurrent": false,
        "HasCompleteLineage": true,
        "IsLongDwell": false
      },
      {
        "SubjectStateInstanceId": "ssi-pred-l-calibrationchecked-4",
        "Name": "ssi-pred-l-calibrationchecked-4",
        "RelativePath": "/admin/state-machine/instances/ssi-pred-l-calibrationchecked-4",
        "StateMachine": "diagnosis-lifecycle",
        "SubjectTableName": "IndividualPredictions",
        "SubjectId": "pred-l",
        "StateKey": "CalibrationChecked",
        "EnteredAt": "2026-06-05T09:00:00Z",
        "ExitedAt": "2026-06-06T09:00:00Z",
        "SequenceIndex": 4,
        "PriorInstance": "ssi-pred-l-mechanismconfirmed-3",
        "EnteredViaTransition": "st-pred-l-calibrationchecked-4",
        "DwellDays": 1,
        "CreatedBy": "v2-step10",
        "CreatedAt": "2026-06-20T00:00:00Z",
        "ModifiedBy": "v2-step10",
        "ModifiedAt": "2026-06-20T00:00:00Z",
        "ModifiedByModel": "claude-opus-4-8",
        "IsCurrent": false,
        "HasCompleteLineage": true,
        "IsLongDwell": false
      },
      {
        "SubjectStateInstanceId": "ssi-pred-l-transportchecked-5",
        "Name": "ssi-pred-l-transportchecked-5",
        "RelativePath": "/admin/state-machine/instances/ssi-pred-l-transportchecked-5",
        "StateMachine": "diagnosis-lifecycle",
        "SubjectTableName": "IndividualPredictions",
        "SubjectId": "pred-l",
        "StateKey": "TransportChecked",
        "EnteredAt": "2026-06-06T09:00:00Z",
        "ExitedAt": "2026-06-07T09:00:00Z",
        "SequenceIndex": 5,
        "PriorInstance": "ssi-pred-l-calibrationchecked-4",
        "EnteredViaTransition": "st-pred-l-transportchecked-5",
        "DwellDays": 1,
        "CreatedBy": "v2-step10",
        "CreatedAt": "2026-06-20T00:00:00Z",
        "ModifiedBy": "v2-step10",
        "ModifiedAt": "2026-06-20T00:00:00Z",
        "ModifiedByModel": "claude-opus-4-8",
        "IsCurrent": false,
        "HasCompleteLineage": true,
        "IsLongDwell": false
      },
      {
        "SubjectStateInstanceId": "ssi-pred-l-actionable-6",
        "Name": "ssi-pred-l-actionable-6",
        "RelativePath": "/admin/state-machine/instances/ssi-pred-l-actionable-6",
        "StateMachine": "diagnosis-lifecycle",
        "SubjectTableName": "IndividualPredictions",
        "SubjectId": "pred-l",
        "StateKey": "Actionable",
        "EnteredAt": "2026-06-07T09:00:00Z",
        "ExitedAt": null,
        "SequenceIndex": 6,
        "PriorInstance": "ssi-pred-l-transportchecked-5",
        "EnteredViaTransition": "st-pred-l-actionable-6",
        "DwellDays": 1,
        "CreatedBy": "v2-step10",
        "CreatedAt": "2026-06-20T00:00:00Z",
        "ModifiedBy": "v2-step10",
        "ModifiedAt": "2026-06-20T00:00:00Z",
        "ModifiedByModel": "claude-opus-4-8",
        "IsCurrent": true,
        "HasCompleteLineage": true,
        "IsLongDwell": false
      }
    ]
  },
  "__meta__": {
    "Description": "General-purpose, global name/value settings ENTITY — deliberately transpiler-IGNORED (leading underscore). The one place for random/global/third-party/configuration values, choices, parameters, thresholds, and the reusable phrase atoms the derived report draws on. Just global key/value configuration data; that's it. Distinct from the `_meta` conversion-metadata section, and NOT a domain table (no FKs in, nothing aggregates over it, not in the DAG). Each row is one key/value setting. Narrative fragment fields on domain rows reference these keys so common language and shared numbers are authored and corrected once, never re-implemented per case. NOTE: banding-threshold rows (e.g. the temperature bands) are the numeric atoms; the per-case decision of which band applies lives in a calculated fragment field on the patient row, not here — this table holds the reusable pieces, not the case logic. See the effortless-meta-table skill.",
    "schema": [
      {
        "name": "MetaKey",
        "datatype": "string",
        "type": "raw",
        "nullable": false,
        "Description": "Stable, unique key for this setting (kebab or dotted). Fragment formulas reference it by this key."
      },
      {
        "name": "Category",
        "datatype": "string",
        "type": "raw",
        "nullable": false,
        "Description": "Grouping: report-config | phrase | band-threshold | band-vocabulary | third-party | parameter | choice."
      },
      {
        "name": "Value",
        "datatype": "string",
        "type": "raw",
        "nullable": false,
        "Description": "The setting's value as text (numbers and booleans stored as strings; ValueType records the intended type)."
      },
      {
        "name": "ValueType",
        "datatype": "string",
        "type": "raw",
        "nullable": false,
        "Description": "How to read Value: string | number | boolean | json | phrase."
      },
      {
        "name": "Description",
        "datatype": "string",
        "type": "raw",
        "nullable": false,
        "Description": "What this setting is for and where it is referenced."
      },
      {
        "name": "Source",
        "datatype": "string",
        "type": "raw",
        "nullable": true,
        "Description": "Provenance: where the value came from (case author, clinical convention, third-party doc, build-seed)."
      },
      {
        "name": "Name",
        "datatype": "string",
        "type": "calculated",
        "nullable": true,
        "Description": "Display label.",
        "formula": "={{MetaKey}}"
      },
      {
        "name": "RelativePath",
        "datatype": "string",
        "type": "calculated",
        "nullable": true,
        "Description": "Path to this __meta__ entry: /admin/meta/&lt;key&gt;.",
        "formula": "=\"/admin/meta/\" &amp; {{MetaKey}}"
      }
    ],
    "data": [
      {
        "MetaKey": "report.engine",
        "Category": "report-config",
        "Value": "python-fragment-renderer",
        "ValueType": "choice",
        "Description": "The diagnosis report is rendered by a thin Python renderer that concatenates already-derived, predicate-gated narrative fragment fields. Replaces the json-hbars-transform plan step. The renderer holds no narrative or business logic.",
        "Source": "design-decision-2026-06-19"
      },
      {
        "MetaKey": "report.output-format",
        "Category": "report-config",
        "Value": "markdown",
        "ValueType": "choice",
        "Description": "Report output format. markdown now -&gt; pdf (diagnosis.pdf) once all harness tests are green.",
        "Source": "design-decision-2026-06-19"
      },
      {
        "MetaKey": "report.fragment-join",
        "Category": "report-config",
        "Value": "\\n\\n",
        "ValueType": "string",
        "Description": "Separator the renderer places between non-empty fragments when assembling a section (blank line = new paragraph).",
        "Source": "build-seed"
      },
      {
        "MetaKey": "report.suppress-empty-fragments",
        "Category": "report-config",
        "Value": "true",
        "ValueType": "boolean",
        "Description": "When a fragment's predicate is false it renders empty; the renderer drops empty fragments so irrelevant language never appears for that case.",
        "Source": "design-decision-2026-06-19"
      },
      {
        "MetaKey": "phrase.presented-with",
        "Category": "phrase",
        "Value": "The patient presented with",
        "ValueType": "phrase",
        "Description": "Literal global opener reused across every case's presenting-facts fragment. Authored once here, never re-typed per case.",
        "Source": "clinical-convention"
      },
      {
        "MetaKey": "phrase.therefore",
        "Category": "phrase",
        "Value": "Therefore",
        "ValueType": "phrase",
        "Description": "Connector that introduces the derived conclusion sentence in the keystone fragment.",
        "Source": "clinical-convention"
      },
      {
        "MetaKey": "phrase.deciding-reason",
        "Category": "phrase",
        "Value": "the single deciding reason was",
        "ValueType": "phrase",
        "Description": "Reused phrase that names the one gate that decided the keystone, per ax-both-verdicts.",
        "Source": "clinical-convention"
      },
      {
        "MetaKey": "phrase.no-finding",
        "Category": "phrase",
        "Value": "No relevant finding was reported.",
        "ValueType": "phrase",
        "Description": "Reused fallback sentence for a section whose predicates all suppressed (used only where a deliberate, named absence is wanted rather than silence).",
        "Source": "build-seed"
      },
      {
        "MetaKey": "band.temperature.normal-low",
        "Category": "band-threshold",
        "Value": "98.5",
        "ValueType": "number",
        "Description": "Lower bound (degF, inclusive) of the 'normal temperature' band. Referenced by the patient's TemperatureNarrative fragment to decide which band's language applies for that case. Illustrative of the banding pattern; replace with the clinically agreed value.",
        "Source": "illustrative"
      },
      {
        "MetaKey": "band.temperature.normal-high",
        "Category": "band-threshold",
        "Value": "99.5",
        "ValueType": "number",
        "Description": "Upper bound (degF, inclusive) of the 'normal temperature' band; above this and up to fever-high is a light fever.",
        "Source": "illustrative"
      },
      {
        "MetaKey": "band.temperature.fever-high",
        "Category": "band-threshold",
        "Value": "100.5",
        "ValueType": "number",
        "Description": "Upper bound (degF) of the 'light fever' band; strictly above this is a 'severe fever'.",
        "Source": "illustrative"
      },
      {
        "MetaKey": "band.temperature.text.normal",
        "Category": "band-vocabulary",
        "Value": "a normal temperature",
        "ValueType": "phrase",
        "Description": "Language emitted when the patient's temperature falls in the normal band. The TemperatureNarrative fragment picks one of the three band phrases by comparing the row's own value against the band-threshold rows.",
        "Source": "clinical-convention"
      },
      {
        "MetaKey": "band.temperature.text.light-fever",
        "Category": "band-vocabulary",
        "Value": "a light fever",
        "ValueType": "phrase",
        "Description": "Language emitted for the light-fever band (normal-high &lt; temp &lt;= fever-high).",
        "Source": "clinical-convention"
      },
      {
        "MetaKey": "band.temperature.text.severe-fever",
        "Category": "band-vocabulary",
        "Value": "a severe fever",
        "ValueType": "phrase",
        "Description": "Language emitted for the severe-fever band (temp &gt; fever-high).",
        "Source": "clinical-convention"
      },
      {
        "MetaKey": "report.coverage.require-every-patient-word",
        "Category": "parameter",
        "Value": "true",
        "ValueType": "boolean",
        "Description": "Total-coverage contract toggle: assert every meaningful patient token is traceable into a rendered fragment (tfs-report-covers-every-word).",
        "Source": "design-decision-2026-06-19"
      },
      {
        "MetaKey": "report.coverage.require-every-dag-node",
        "Category": "parameter",
        "Value": "true",
        "ValueType": "boolean",
        "Description": "Total-coverage contract toggle: assert every DAG node linked to the patient down to ground truth contributes a fragment or a named suppression (tfs-report-covers-every-dag-node).",
        "Source": "design-decision-2026-06-19"
      },
      {
        "MetaKey": "cmcc_summary",
        "ValueType": "string",
        "StringValue": "Loop 0: solve-by-inference rulebook for the Causal Autoimmune Architecture Platform. The keystone IndividualPredictions.IsClinicallyActionable is derived through a calculated-field DAG bottoming out only in raw observations. The per-patient diagnosis report is a derived, total-coverage projection: every patient word and every linked DAG node down to ground truth renders as predicate-gated structured natural language assembled from per-row narrative fragment fields (each one spreadsheet-cell simple), drawing reusable phrases and band thresholds from the __meta__ settings table.",
        "JsonValue": null
      },
      {
        "MetaKey": "conversion_metadata",
        "ValueType": "object",
        "StringValue": null,
        "JsonValue": "{\"source\": \"shadle-bootstrap\", \"table_count\": 22, \"tool_version\": \"loop-0-solve-by-inference-2026-06-19\", \"export_mode\": \"rulebook_first\", \"vocabulary_coverage\": \"all domain terms in descriptions, field names, and data values\"}"
      }
    ]
  },
  "DiseaseDomainConcepts": {
    "Description": "v2 vocabulary completeness: every disease-domain concept the v1 audit named, with its modeling status and the challenge-stressor TYPE it instantiates. Makes the coverage claim checkable by grep, not by trust.",
    "schema": [
      {
        "name": "DiseaseDomainConceptId",
        "datatype": "string",
        "type": "raw",
        "nullable": false,
        "Description": "Slug PK."
      },
      {
        "name": "ConceptLabel",
        "datatype": "string",
        "type": "raw",
        "nullable": false,
        "Description": "Human-readable concept name (the audit's missing word)."
      },
      {
        "name": "RelatedDisease",
        "datatype": "string",
        "type": "raw",
        "nullable": true,
        "Description": "Disease this concept belongs to (SLE/RA/PsA/* for cross-cutting). Convention string, not a FK."
      },
      {
        "name": "ModelingStatus",
        "datatype": "string",
        "type": "raw",
        "nullable": false,
        "Description": "deep-dag | schema | vocabulary — how deeply v2 models this concept."
      },
      {
        "name": "Definition",
        "datatype": "string",
        "type": "raw",
        "nullable": true,
        "Description": "What the concept is and how v2 represents it."
      },
      {
        "name": "ChallengeStressorType",
        "datatype": "string",
        "type": "raw",
        "nullable": true,
        "Description": "Which TYPE of original-challenge stressor this concept instantiates (for the reconcile map)."
      },
      {
        "name": "Name",
        "datatype": "string",
        "type": "calculated",
        "nullable": true,
        "Description": "Echoes ConceptLabel.",
        "formula": "={{ConceptLabel}}"
      },
      {
        "name": "RelativePath",
        "datatype": "string",
        "type": "calculated",
        "nullable": true,
        "Description": "Path to this concept's page.",
        "formula": "=\"/admin/disease-concepts/\" &amp; {{DiseaseDomainConceptId}}"
      },
      {
        "name": "IsDeeplyModeled",
        "datatype": "boolean",
        "type": "calculated",
        "nullable": true,
        "Description": "TRUE when this concept carries a witnessed inference DAG (status = deep-dag).",
        "formula": "=IF({{ModelingStatus}}=\"deep-dag\", TRUE(), FALSE())"
      },
      {
        "name": "IsSchemaModeled",
        "datatype": "boolean",
        "type": "calculated",
        "nullable": true,
        "Description": "TRUE when first-class schema/data (deep-dag or schema).",
        "formula": "=IF(OR({{ModelingStatus}}=\"deep-dag\",{{ModelingStatus}}=\"schema\"), TRUE(), FALSE())"
      }
    ],
    "data": [
      {
        "DiseaseDomainConceptId": "lupus-nephritis",
        "ConceptLabel": "Lupus Nephritis",
        "RelatedDisease": "SLE",
        "ModelingStatus": "deep-dag",
        "Definition": "Renal involvement of SLE; immune-complex glomerulonephritis. v2 models its PROGRESSION as a witnessed state machine driven by rising anti-dsDNA + falling complement + proteinuria.",
        "ChallengeStressorType": "disease-progression / organ-specific subtype",
        "Name": "Lupus Nephritis",
        "RelativePath": "/admin/disease-concepts/lupus-nephritis",
        "IsDeeplyModeled": true,
        "IsSchemaModeled": true
      },
      {
        "DiseaseDomainConceptId": "treatment-line-selection",
        "ConceptLabel": "Treatment-Line Selection",
        "RelatedDisease": "SLE",
        "ModelingStatus": "deep-dag",
        "Definition": "Which therapy to choose given the patient's causal mechanism + disease state: mycophenolate (MMF) vs belimumab vs anifrolumab. v2 derives a recommended line + single deciding reason.",
        "ChallengeStressorType": "treatment response / patient stratification",
        "Name": "Treatment-Line Selection",
        "RelativePath": "/admin/disease-concepts/treatment-line-selection",
        "IsDeeplyModeled": true,
        "IsSchemaModeled": true
      },
      {
        "DiseaseDomainConceptId": "neuropsychiatric-lupus",
        "ConceptLabel": "Neuropsychiatric Lupus (NPSLE)",
        "RelatedDisease": "SLE",
        "ModelingStatus": "schema",
        "Definition": "CNS/PNS manifestations of SLE (seizure, psychosis, cognitive). Modeled as a phenotype subtype carrying a SeverityScore and organ-domain tag.",
        "ChallengeStressorType": "tissue-specific / cell-state-specific effects",
        "Name": "Neuropsychiatric Lupus (NPSLE)",
        "RelativePath": "/admin/disease-concepts/neuropsychiatric-lupus",
        "IsDeeplyModeled": false,
        "IsSchemaModeled": true
      },
      {
        "DiseaseDomainConceptId": "cutaneous-lupus",
        "Conc</t>
  </si>
  <si>
    <t xml:space="preserve">eptLabel": "Cutaneous Lupus",
        "RelatedDisease": "SLE",
        "ModelingStatus": "schema",
        "Definition": "Skin-limited or skin-predominant lupus (acute/subacute/chronic discoid). Phenotype subtype with organ-domain = skin.",
        "ChallengeStressorType": "tissue-specific effects",
        "Name": "Cutaneous Lupus",
        "RelativePath": "/admin/disease-concepts/cutaneous-lupus",
        "IsDeeplyModeled": false,
        "IsSchemaModeled": true
      },
      {
        "DiseaseDomainConceptId": "organ-damage-slicc",
        "ConceptLabel": "Organ Damage (SLICC/ACR Damage Index)",
        "RelatedDisease": "SLE",
        "ModelingStatus": "schema",
        "Definition": "Irreversible accumulated damage, SLICC-style. Modeled as a monotonic damage-accrual score distinct from reversible disease activity.",
        "ChallengeStressorType": "disease progression / feedback between progression and molecular state",
        "Name": "Organ Damage (SLICC/ACR Damage Index)",
        "RelativePath": "/admin/disease-concepts/organ-damage-slicc",
        "IsDeeplyModeled": false,
        "IsSchemaModeled": true
      },
      {
        "DiseaseDomainConceptId": "seropositive-ra",
        "ConceptLabel": "Seropositive RA (ACPA/RF+)",
        "RelatedDisease": "RA",
        "ModelingStatus": "schema",
        "Definition": "RF/anti-CCP-positive RA; stronger HLA shared-epitope + PTPN22 association, more erosive. Phenotype subtype with a serostatus tag.",
        "ChallengeStressorType": "coding/HLA variants; ancestry-specific risk alleles",
        "Name": "Seropositive RA (ACPA/RF+)",
        "RelativePath": "/admin/disease-concepts/seropositive-ra",
        "IsDeeplyModeled": false,
        "IsSchemaModeled": true
      },
      {
        "DiseaseDomainConceptId": "seronegative-ra",
        "ConceptLabel": "Seronegative RA (ACPA/RF-)",
        "RelatedDisease": "RA",
        "ModelingStatus": "schema",
        "Definition": "Autoantibody-negative RA; distinct genetic architecture and trajectory. Phenotype subtype.",
        "ChallengeStressorType": "heterogeneity within one disease",
        "Name": "Seronegative RA (ACPA/RF-)",
        "RelativePath": "/admin/disease-concepts/seronegative-ra",
        "IsDeeplyModeled": false,
        "IsSchemaModeled": true
      },
      {
        "DiseaseDomainConceptId": "erosive-disease",
        "ConceptLabel": "Erosive Disease",
        "RelatedDisease": "RA",
        "ModelingStatus": "schema",
        "Definition": "Radiographic bone erosion; a structural-damage progression axis for RA, distinct from disease activity.",
        "ChallengeStressorType": "disease progression / organ damage",
        "Name": "Erosive Disease",
        "RelativePath": "/admin/disease-concepts/erosive-disease",
        "IsDeeplyModeled": false,
        "IsSchemaModeled": true
      },
      {
        "DiseaseDomainConceptId": "axial-psa",
        "ConceptLabel": "Axial Psoriatic Arthritis",
        "RelatedDisease": "PsA",
        "ModelingStatus": "schema",
        "Definition": "Spinal/sacroiliac involvement of PsA. Phenotype subtype with axial domain tag.",
        "ChallengeStressorType": "tissue-specific effects",
        "Name": "Axial Psoriatic Arthritis",
        "RelativePath": "/admin/disease-concepts/axial-psa",
        "IsDeeplyModeled": false,
        "IsSchemaModeled": true
      },
      {
        "DiseaseDomainConceptId": "enthesitis",
        "ConceptLabel": "Enthesitis",
        "RelatedDisease": "PsA",
        "ModelingStatus": "schema",
        "Definition": "Inflammation at tendon/ligament insertions; hallmark of PsA/SpA. Phenotype subtype.",
        "ChallengeStressorType": "tissue-specific effects",
        "Name": "Enthesitis",
        "RelativePath": "/admin/disease-concepts/enthesitis",
        "IsDeeplyModeled": false,
        "IsSchemaModeled": true
      },
      {
        "DiseaseDomainConceptId": "dactylitis",
        "ConceptLabel": "Dactylitis",
        "RelatedDisease": "PsA",
        "ModelingStatus": "schema",
        "Definition": "'Sausage digit' — whole-digit swelling. PsA phenotype subtype.",
        "ChallengeStressorType": "tissue-specific effects",
        "Name": "Dactylitis",
        "RelativePath": "/admin/disease-concepts/dactylitis",
        "IsDeeplyModeled": false,
        "IsSchemaModeled": true
      },
      {
        "DiseaseDomainConceptId": "uveitis",
        "ConceptLabel": "Uveitis",
        "RelatedDisease": "PsA",
        "ModelingStatus": "schema",
        "Definition": "Inflammatory eye disease overlapping spondyloarthritis. Phenotype subtype / extra-articular domain.",
        "ChallengeStressorType": "pleiotropy / shared mechanism across tissues",
        "Name": "Uveitis",
        "RelativePath": "/admin/disease-concepts/uveitis",
        "IsDeeplyModeled": false,
        "IsSchemaModeled": true
      },
      {
        "DiseaseDomainConceptId": "ibd-overlap",
        "ConceptLabel": "Inflammatory Bowel Disease Overlap",
        "RelatedDisease": "PsA",
        "ModelingStatus": "schema",
        "Definition": "Gut inflammation overlapping spondyloarthritis (IL-23/IL-17 axis shared). Phenotype subtype representing cross-disease pleiotropy.",
        "ChallengeStressorType": "pleiotropy / gene-environment-microbiome interaction",
        "Name": "Inflammatory Bowel Disease Overlap",
        "RelativePath": "/admin/disease-concepts/ibd-overlap",
        "IsDeeplyModeled": false,
        "IsSchemaModeled": true
      },
      {
        "DiseaseDomainConceptId": "flare-pattern",
        "ConceptLabel": "Flare Pattern",
        "RelatedDisease": "*",
        "ModelingStatus": "schema",
        "Definition": "Episodic relapse of disease activity. v2 models flare-risk as a derived state on the progression machine, driven by serology trajectory.",
        "ChallengeStressorType": "feedback between disease progression and molecular state",
        "Name": "Flare Pattern",
        "RelativePath": "/admin/disease-concepts/flare-pattern",
        "IsDeeplyModeled": false,
        "IsSchemaModeled": true
      },
      {
        "DiseaseDomainConceptId": "disease-activity-score",
        "ConceptLabel": "Disease-Activity Score (SLEDAI / DAS28)",
        "RelatedDisease": "*",
        "ModelingStatus": "deep-dag",
        "Definition": "Composite activity indices (SLEDAI-2K for SLE, DAS28 for RA). v2 DERIVES an activity tier from raw component observations rather than hand-entering it.",
        "ChallengeStressorType": "calibrated severity / disease stage",
        "Name": "Disease-Activity Score (SLEDAI / DAS28)",
        "RelativePath": "/admin/disease-concepts/disease-activity-score",
        "IsDeeplyModeled": true,
        "IsSchemaModeled": true
      },
      {
        "DiseaseDomainConceptId": "treatment-line",
        "ConceptLabel": "Treatment Line",
        "RelatedDisease": "*",
        "ModelingStatus": "schema",
        "Definition": "First-line / second-line / advanced-therapy sequencing. Modeled as an ordinal on therapies feeding treatment-line selection.",
        "ChallengeStressorType": "treatment histories / treatment-induced changes",
        "Name": "Treatment Line",
        "RelativePath": "/admin/disease-concepts/treatment-line",
        "IsDeeplyModeled": false,
        "IsSchemaModeled": true
      },
      {
        "DiseaseDomainConceptId": "adverse-event-surveillance",
        "ConceptLabel": "Adverse-Event Surveillance",
        "RelatedDisease": "*",
        "ModelingStatus": "vocabulary",
        "Definition": "Monitoring for therapy harms. Present as a concept/stressor type; the keystone already carries HasAdverseEffect at the leaf. Deep AE modeling is out-of-scope for the POC.",
        "ChallengeStressorType": "adverse effects",
        "Name": "Adverse-Event Surveillance",
        "RelativePath": "/admin/disease-concepts/adverse-event-surveillance",
        "IsDeeplyModeled": false,
        "IsSchemaModeled": false
      },
      {
        "DiseaseDomainConceptId": "workflow-referral",
        "ConceptLabel": "Workflow: Referral",
        "RelatedDisease": "*",
        "ModelingStatus": "vocabulary",
        "Definition": "Entry into specialist care. Represented as the initial state of the clinical-workflow machine.",
        "ChallengeStressorType": "clinical workflow",
        "Name": "Workflow: Referral",
        "RelativePath": "/admin/disease-concepts/workflow-referral",
        "IsDeeplyModeled": false,
        "IsSchemaModeled": false
      },
      {
        "DiseaseDomainConceptId": "workflow-differential",
        "ConceptLabel": "Workflow: Differential Diagnosis",
        "RelatedDisease": "*",
        "ModelingStatus": "vocabulary",
        "Definition": "Weighing competing diagnoses. Workflow state.",
        "ChallengeStressorType": "clinical workflow",
        "Name": "Workflow: Differential Diagnosis",
        "RelativePath": "/admin/disease-concepts/workflow-differential",
        "IsDeeplyModeled": false,
        "IsSchemaModeled": false
      },
      {
        "DiseaseDomainConceptId": "workflow-workup",
        "ConceptLabel": "Workflow: Workup",
        "RelatedDisease": "*",
        "ModelingStatus": "vocabulary",
        "Definition": "Ordering the labs/imaging that BECOME the raw leaves. Workflow state.",
        "ChallengeStressorType": "clinical workflow",
        "Name": "Workflow: Workup",
        "RelativePath": "/admin/disease-concepts/workflow-workup",
        "IsDeeplyModeled": false,
        "IsSchemaModeled": false
      },
      {
        "DiseaseDomainConceptId": "workflow-classification",
        "ConceptLabel": "Workflow: Classification",
        "RelatedDisease": "*",
        "ModelingStatus": "vocabulary",
        "Definition": "Applying classification criteria (e.g. EULAR/ACR). Workflow state.",
        "ChallengeStressorType": "clinical workflow",
        "Name": "Workflow: Classification",
        "RelativePath": "/admin/disease-concepts/workflow-classification",
        "IsDeeplyModeled": false,
        "IsSchemaModeled": false
      },
      {
        "DiseaseDomainConceptId": "workflow-baseline-severity",
        "ConceptLabel": "Workflow: Baseline Severity Assessment",
        "RelatedDisease": "*",
        "ModelingStatus": "vocabulary",
        "Definition": "Establishing baseline activity/damage. Workflow state; consumes the derived activity score.",
        "ChallengeStressorType": "clinical workflow / baseline severity",
        "Name": "Workflow: Baseline Severity Assessment",
        "RelativePath": "/admin/disease-concepts/workflow-baseline-severity",
        "IsDeeplyModeled": false,
        "IsSchemaModeled": false
      },
      {
        "DiseaseDomainConceptId": "workflow-treatment-choice",
        "ConceptLabel": "Workflow: Treatment Choice",
        "RelatedDisease": "*",
        "ModelingStatus": "vocabulary",
        "Definition": "Selecting therapy; consumes the treatment-line-selection DAG. Workflow state.",
        "ChallengeStressorType": "clinical workflow / treatment",
        "Name": "Workflow: Treatment Choice",
        "RelativePath": "/admin/disease-concepts/workflow-treatment-choice",
        "IsDeeplyModeled": false,
        "IsSchemaModeled": false
      },
      {
        "DiseaseDomainConceptId": "workflow-monitoring",
        "ConceptLabel": "Workflow: Monitoring",
        "RelatedDisease": "*",
        "ModelingStatus": "vocabulary",
        "Definition": "Longitudinal follow-up; produces the serology trajectory leaves. Workflow state.",
        "ChallengeStressorType": "clinical workflow / monitoring",
        "Name": "Workflow: Monitoring",
        "RelativePath": "/admin/disease-concepts/workflow-monitoring",
        "IsDeeplyModeled": false,
        "IsSchemaModeled": false
      },
      {
        "DiseaseDomainConceptId": "workflow-flare-management",
        "ConceptLabel": "Workflow: Flare Management",
        "RelatedDisease": "*",
        "ModelingStatus": "vocabulary",
        "Definition": "Responding to a flare. Workflow state tied to the flare-risk progression state.",
        "ChallengeStressorType": "clinical workflow / flare",
        "Name": "Workflow: Flare Management",
        "RelativePath": "/admin/disease-concepts/workflow-flare-management",
        "IsDeeplyModeled": false,
        "IsSchemaModeled": false
      },
      {
        "DiseaseDomainConceptId": "workflow-outcomes",
        "ConceptLabel": "Workflow: Long-Term Outcomes",
        "RelatedDisease": "*",
        "ModelingStatus": "vocabulary",
        "Definition": "Damage accrual, remission, outcomes over time. Workflow terminal state.",
        "ChallengeStressorType": "clinical workflow / outcomes",
        "Name": "Workflow: Long-Term Outcomes",
        "RelativePath": "/admin/disease-concepts/workflow-outcomes",
        "IsDeeplyModeled": false,
        "IsSchemaModeled": false
      }
    ]
  },
  "SerologyObservations": {
    "Description": "RAW longitudinal serology panels (the lab/LLM layer) + derived trend, SLEDAI sub-scores, and the disease state IMPLIED by each panel. The leaves that drive the lupus-nephritis progression machine.",
    "schema": [
      {
        "name": "SerologyObservationId",
        "datatype": "string",
        "type": "raw",
        "nullable": false,
        "Description": "Slug PK: sero-{ind}-{seq}."
      },
      {
        "name": "Individual",
        "datatype": "string",
        "type": "relationship",
        "nullable": false,
        "Description": "FK -&gt; Individuals.IndividualId.",
        "RelatedTo": "Individuals",
        "prefersSingleRecordLink": true,
        "isReversed": false,
        "InverseField": ""
      },
      {
        "name": "ObservedAt",
        "datatype": "datetime",
        "type": "raw",
        "nullable": false,
        "Description": "Valid-time of this serology panel (RAW leaf)."
      },
      {
        "name": "SequenceIndex",
        "datatype": "number",
        "type": "raw",
        "nullable": false,
        "Description": "1-based order within the individual's panel series (RAW)."
      },
      {
        "name": "AntiDsDnaIU",
        "datatype": "number",
        "type": "raw",
        "nullable": true,
        "Description": "anti-dsDNA titre IU/mL (RAW lab)."
      },
      {
        "name": "ComplementC3",
        "datatype": "number",
        "type": "raw",
        "nullable": true,
        "Description": "C3 mg/dL (RAW lab)."
      },
      {
        "name": "ComplementC4",
        "datatype": "number",
        "type": "raw",
        "nullable": true,
        "Description": "C4 mg/dL (RAW lab)."
      },
      {
        "name": "ProteinuriaGPerDay",
        "datatype": "number",
        "type": "raw",
        "nullable": true,
        "Description": "urine protein g/day (RAW lab)."
      },
      {
        "name": "EgfrMlMin",
        "datatype": "number",
        "type": "raw",
        "nullable": true,
        "Description": "eGFR mL/min (RAW lab)."
      },
      {
        "name": "HasActiveUrinarySediment",
        "datatype": "boolean",
        "type": "raw",
        "nullable": true,
        "Description": "active casts/hematuria (RAW observation)."
      },
      {
        "name": "PriorObservation",
        "datatype": "string",
        "type": "relationship",
        "nullable": true,
        "Description": "Self-FK -&gt; the prior panel in this individual's series (seq-1). NULL for the first.",
        "RelatedTo": "SerologyObservations",
        "prefersSingleRecordLink": true,
        "isReversed": false,
        "InverseField": ""
      },
      {
        "name": "PriorAntiDsDnaIU",
        "datatype": "number",
        "type": "lookup",
        "nullable": true,
        "Description": "Prior panel's dsDNA via PriorObservation FK, for trend.",
        "RelatedTo": "SerologyObservations",
        "LookupField": "AntiDsDnaIU",
        "ViaField": "PriorObservation",
        "formula": "=INDEX(SerologyObservations!{{AntiDsDnaIU}}, MATCH({{PriorObservation}}, SerologyObservations!{{SerologyObservationId}}, 0))"
      },
      {
        "name": "PriorC3",
        "datatype": "number",
        "type": "lookup",
        "nullable": true,
        "Description": "Prior C3 via PriorObservation FK.",
        "RelatedTo": "SerologyObservations",
        "LookupField": "ComplementC3",
        "ViaField": "PriorObservation",
        "formula": "=INDEX(SerologyObservations!{{ComplementC3}}, MATCH({{PriorObservation}}, SerologyObservations!{{SerologyObservationId}}, 0))"
      },
      {
        "name": "PriorC4",
        "datatype": "number",
        "type": "lookup",
        "nullable": true,
        "Description": "Prior C4 via PriorObservation FK.",
        "RelatedTo": "SerologyObservations",
        "LookupField": "ComplementC4",
        "ViaField": "PriorObservation",
        "formula": "=INDEX(SerologyObservations!{{ComplementC4}}, MATCH({{PriorObservation}}, SerologyObservations!{{SerologyObservationId}}, 0))"
      },
      {
        "name": "AntiDsDnaTrend",
        "datatype": "string",
        "type": "calculated",
        "nullable": true,
        "Description": "Rising/Falling/Stable vs prior panel (derived from raw).",
        "formula": "=IF(ISBLANK({{PriorAntiDsDnaIU}}),\"Stable\",IF({{AntiDsDnaIU}}&gt;{{PriorAntiDsDnaIU}}*1.25,\"Rising\",IF({{AntiDsDnaIU}}&lt;{{PriorAntiDsDnaIU}}*0.8,\"Falling\",\"Stable\")))"
      },
      {
        "name": "ComplementTrend",
        "datatype": "string",
        "type": "calculated",
        "nullable": true,
        "Description": "Rising/Falling/Stable on C3+C4 vs prior (derived).",
        "formula": "=IF(ISBLANK({{PriorC3}}),\"Stable\",IF(({{ComplementC3}}+{{ComplementC4}})&lt;({{PriorC3}}+{{PriorC4}})*0.85,\"Falling\",IF(({{ComplementC3}}+{{ComplementC4}})&gt;({{PriorC3}}+{{PriorC4}})*1.15,\"Rising\",\"Stable\")))"
      },
      {
        "name": "IsPreNephriticSignaturePanel",
        "datatype": "boolean",
        "type": "calculated",
        "nullable": true,
        "Description": "The pre-nephritic serology signature at THIS panel: rising anti-dsDNA + falling complement (the serological trajectory that precedes/tracks overt renal involvement). Emergent from the raw series, not a label anyone assigned. (Proteinuria is the OUTCOME the signature precedes, so it is deliberately NOT part of the signal.)",
        "formula": "=IF(AND({{AntiDsDnaTrend}}=\"Rising\",{{ComplementTrend}}=\"Falling\"),TRUE(),FALSE())"
      },
      {
        "name": "IsSignificantProteinuria",
        "datatype": "boolean",
        "type": "calculated",
        "nullable": true,
        "Description": "proteinuria &gt;= 0.5 g/day.",
        "formula": "=IF({{ProteinuriaGPerDay}}&gt;=0.5,TRUE(),FALSE())"
      },
      {
        "name": "IsNephroticRangeProteinuria",
        "datatype": "boolean",
        "type": "calculated",
        "nullable": true,
        "Description": "proteinuria &gt;= 3.0 g/day.",
        "formula": "=IF({{ProteinuriaGPerDay}}&gt;=3.0,TRUE(),FALSE())"
      },
      {
        "name": "SledaiRenalPoints",
        "datatype": "number",
        "type": "calculated",
        "nullable": true,
        "Description": "SLEDAI-style renal sub-score (0/4/8) from proteinuria + sediment.",
        "formula": "=IF(OR({{IsNephroticRangeProteinuria}},{{HasActiveUrinarySediment}}),8,IF({{IsSignificantProteinuria}},4,0))"
      },
      {
        "name": "SledaiSerologyPoints",
        "datatype": "number",
        "type": "calculated",
        "nullable": true,
        "Description": "SLEDAI-style serology sub-score (0/2/4) from low-complement + raised dsDNA.",
        "formula": "=IF(AND({{ComplementTrend}}=\"Falling\",{{AntiDsDnaTrend}}=\"Rising\"),4,IF(OR({{ComplementTrend}}=\"Falling\",{{AntiDsDnaTrend}}=\"Rising\"),2,0))"
      },
      {
        "name": "SledaiScore",
        "datatype": "number",
        "type": "calculated",
        "nullable": true,
        "Description": "Derived SLEDAI-style activity score = renal + serology points.",
        "formula": "={{SledaiRenalPoints}}+{{SledaiSerologyPoints}}"
      },
      {
        "name": "ProgressionStateKey",
        "datatype": "string",
        "type": "calculated",
        "nullable": true,
        "Description": "Disease state IMPLIED by THIS panel (derived purely from raw leaves).",
        "formula": "=IF(OR({{IsNephroticRangeProteinuria}},{{HasActiveUrinarySediment}}),\"BiopsyIndicated\",IF({{ProteinuriaGPerDay}}&gt;=1.0,\"RenalFlareRisk\",IF({{IsSignificantProteinuria}},\"EarlyNephritis\",IF(AND({{AntiDsDnaTrend}}=\"Rising\",{{ComplementTrend}}=\"Falling\"),\"SerologicActive\",\"PresymptomaticAutoimmunity\"))))"
      },
      {
        "name": "ProgressionStateOrder",
        "datatype": "number",
        "type": "calculated",
        "nullable": true,
        "Description": "Numeric severity order of THIS panel's implied state (0..5). Lets the individual's current state be a MAXIFS over panels (highest state reached).",
        "formula": "=IF({{ProgressionStateKey}}=\"BiopsyIndicated\",5,IF({{ProgressionStateKey}}=\"RenalFlareRisk\",4,IF({{ProgressionStateKey}}=\"EarlyNephritis\",3,IF({{ProgressionStateKey}}=\"SerologicActive\",2,1))))"
      },
      {
        "name": "Name",
        "datatype": "string",
        "type": "calculated",
        "nullable": true,
        "Description": "Echoes id.",
        "formula": "={{SerologyObservationId}}"
      },
      {
        "name": "RelativePath",
        "datatype": "string",
        "type": "calculated",
        "nullable": true,
        "Description": "Path.",
        "formula": "=\"/admin/serology/\" &amp; {{SerologyObservationId}}"
      }
    ],
    "data": [
      {
        "SerologyObservationId": "sero-ind-a-reyes-1",
        "Individual": "ind-a-reyes",
        "ObservedAt": "2025-09-01T00:00:00Z",
        "SequenceIndex": 1,
        "AntiDsDnaIU": 40,
        "ComplementC3": 110,
        "ComplementC4": 22,
        "ProteinuriaGPerDay": 0.1,
        "EgfrMlMin": 95,
        "HasActiveUrinarySediment": false,
        "PriorObservation": null,
        "Name": "sero-ind-a-reyes-1",
        "RelativePath": "/admin/serology/sero-ind-a-reyes-1",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"sero-ind-a-reyes-2",
        "Individual": "ind-a-reyes",
        "ObservedAt": "2025-12-01T00:00:00Z",
        "SequenceIndex": 2,
        "AntiDsDnaIU": 95,
        "ComplementC3": 78,
        "ComplementC4": 12,
        "ProteinuriaGPerDay": 0.2,
        "EgfrMlMin": 94,
        "HasActiveUrinarySediment": false,
        "PriorObservation": "sero-ind-a-reyes-1",
        "Name": "sero-ind-a-reyes-2",
        "RelativePath": "/admin/serology/sero-ind-a-reyes-2",
        "CreatedBy": "v2-step3",
        "CreatedAt": "2026-06-20T00:00:00Z",
        "ModifiedBy": "v2-step3",
        "ModifiedAt": "2026-06-20T00:00:00Z",
        "ModifiedByModel": "claude-opus-4-8",
        "PriorAntiDsDnaIU": 40,
        "PriorC3": 110,
        "PriorC4": 22,
        "AntiDsDnaTrend": "Rising",
        "ComplementTrend": "Falling",
        "IsSignificantProteinuria": false,
        "IsNephroticRangeProteinuria": false,
        "SledaiRenalPoints": 0,
        "SledaiSerologyPoints": 4,
        "SledaiScore": 4,
        "ProgressionStateKey": "SerologicActive",
        "ProgressionStateOrder": 2,
        "IsPreNephriticSignaturePanel": true
      },
      {
        "SerologyObservationId": "sero-ind-b-okafor-1",
        "Individual": "ind-b-okafor",
        "ObservedAt": "2025-08-15T00:00:00Z",
        "SequenceIndex": 1,
        "AntiDsDnaIU": 30,
        "ComplementC3": 120,
        "ComplementC4": 25,
        "ProteinuriaGPerDay": 0.05,
        "EgfrMlMin": 99,
        "HasActiveUrinarySediment": false,
        "PriorObservation": null,
        "Name": "sero-ind-b-okafor-1",
        "RelativePath": "/admin/serology/sero-ind-b-okafor-1",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"sero-ind-b-okafor-2",
        "Individual": "ind-b-okafor",
        "ObservedAt": "2025-11-15T00:00:00Z",
        "SequenceIndex": 2,
        "AntiDsDnaIU": 33,
        "ComplementC3": 118,
        "ComplementC4": 24,
        "ProteinuriaGPerDay": 0.08,
        "EgfrMlMin": 98,
        "HasActiveUrinarySediment": false,
        "PriorObservation": "sero-ind-b-okafor-1",
        "Name": "sero-ind-b-okafor-2",
        "RelativePath": "/admin/serology/sero-ind-b-okafor-2",
        "CreatedBy": "v2-step3",
        "CreatedAt": "2026-06-20T00:00:00Z",
        "ModifiedBy": "v2-step3",
        "ModifiedAt": "2026-06-20T00:00:00Z",
        "ModifiedByModel": "claude-opus-4-8",
        "PriorAntiDsDnaIU": 30,
        "PriorC3": 120,
        "PriorC4": 25,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"sero-ind-c-chen-1",
        "Individual": "ind-c-chen",
        "ObservedAt": "2025-07-01T00:00:00Z",
        "SequenceIndex": 1,
        "AntiDsDnaIU": 50,
        "ComplementC3": 100,
        "ComplementC4": 20,
        "ProteinuriaGPerDay": 0.2,
        "EgfrMlMin": 92,
        "HasActiveUrinarySediment": false,
        "PriorObservation": null,
        "Name": "sero-ind-c-chen-1",
        "RelativePath": "/admin/serology/sero-ind-c-chen-1",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"sero-ind-c-chen-2",
        "Individual": "ind-c-chen",
        "ObservedAt": "2025-10-01T00:00:00Z",
        "SequenceIndex": 2,
        "AntiDsDnaIU": 120,
        "ComplementC3": 70,
        "ComplementC4": 10,
        "ProteinuriaGPerDay": 0.3,
        "EgfrMlMin": 90,
        "HasActiveUrinarySediment": false,
        "PriorObservation": "sero-ind-c-chen-1",
        "Name": "sero-ind-c-chen-2",
        "RelativePath": "/admin/serology/sero-ind-c-chen-2",
        "CreatedBy": "v2-step3",
        "CreatedAt": "2026-06-20T00:00:00Z",
        "ModifiedBy": "v2-step3",
        "ModifiedAt": "2026-06-20T00:00:00Z",
        "ModifiedByModel": "claude-opus-4-8",
        "PriorAntiDsDnaIU": 50,
        "PriorC3": 100,
        "PriorC4": 20,
        "AntiDsDnaTrend": "Rising",
        "ComplementTrend": "Falling",
        "IsSignificantProteinuria": false,
        "IsNephroticRangeProteinuria": false,
        "SledaiRenalPoints": 0,
        "SledaiSerologyPoints": 4,
        "SledaiScore": 4,
        "ProgressionStateKey": "SerologicActive",
        "ProgressionStateOrder": 2,
        "IsPreNephriticSignaturePanel": true
      },
      {
        "SerologyObservationId": "sero-ind-d-santos-1",
        "Individual": "ind-d-santos",
        "ObservedAt": "2025-06-01T00:00:00Z",
        "SequenceIndex": 1,
        "AntiDsDnaIU": 60,
        "ComplementC3": 95,
        "ComplementC4": 18,
        "ProteinuriaGPerDay": 0.4,
        "EgfrMlMin": 88,
        "HasActiveUrinarySediment": false,
        "PriorObservation": null,
        "Name": "sero-ind-d-santos-1",
        "RelativePath": "/admin/serology/sero-ind-d-santos-1",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"sero-ind-d-santos-2",
        "Individual": "ind-d-santos",
        "ObservedAt": "2025-09-01T00:00:00Z",
        "SequenceIndex": 2,
        "AntiDsDnaIU": 140,
        "ComplementC3": 60,
        "ComplementC4": 9,
        "ProteinuriaGPerDay": 1.2,
        "EgfrMlMin": 80,
        "HasActiveUrinarySediment": false,
        "PriorObservation": "sero-ind-d-santos-1",
        "Name": "sero-ind-d-santos-2",
        "RelativePath": "/admin/serology/sero-ind-d-santos-2",
        "CreatedBy": "v2-step3",
        "CreatedAt": "2026-06-20T00:00:00Z",
        "ModifiedBy": "v2-step3",
        "ModifiedAt": "2026-06-20T00:00:00Z",
        "ModifiedByModel": "claude-opus-4-8",
        "PriorAntiDsDnaIU": 60,
        "PriorC3": 95,
        "PriorC4": 18,
        "AntiDsDnaTrend": "Rising",
        "ComplementTrend": "Falling",
        "IsSignificantProteinuria": true,
        "IsNephroticRangeProteinuria": false,
        "SledaiRenalPoints": 4,
        "SledaiSerologyPoints": 4,
        "SledaiScore": 8,
        "ProgressionStateKey": "RenalFlareRisk",
        "ProgressionStateOrder": 4,
        "IsPreNephriticSignaturePanel": true
      },
      {
        "SerologyObservationId": "sero-ind-d-santos-3",
        "Individual": "ind-d-santos",
        "ObservedAt": "2025-12-01T00:00:00Z",
        "SequenceIndex": 3,
        "AntiDsDnaIU": 180,
        "ComplementC3": 45,
        "ComplementC4": 6,
        "ProteinuriaGPerDay": 3.6,
        "EgfrMlMin": 68,
        "HasActiveUrinarySediment": true,
        "PriorObservation": "sero-ind-d-santos-2",
        "Name": "sero-ind-d-santos-3",
        "RelativePath": "/admin/serology/sero-ind-d-santos-3",
        "CreatedBy": "v2-step3",
        "CreatedAt": "2026-06-20T00:00:00Z",
        "ModifiedBy": "v2-step3",
        "ModifiedAt": "2026-06-20T00:00:00Z",
        "ModifiedByModel": "claude-opus-4-8",
        "PriorAntiDsDnaIU": 140,
        "PriorC3": 60,
        "PriorC4": 9,
        "AntiDsDnaTrend": "Rising",
        "ComplementTrend": "Falling",
        "IsSignificantProteinuria": true,
        "IsNephroticRangeProteinuria": true,
        "SledaiRenalPoints": 8,
        "SledaiSerologyPoints": 4,
        "SledaiScore": 12,
        "ProgressionStateKey": "BiopsyIndicated",
        "ProgressionStateOrder": 5,
        "IsPreNephriticSignaturePanel": true
      },
      {
        "SerologyObservationId": "sero-ind-e-mensah-1",
        "Individual": "ind-e-mensah",
        "ObservedAt": "2025-08-01T00:00:00Z",
        "SequenceIndex": 1,
        "AntiDsDnaIU": 25,
        "ComplementC3": 125,
        "ComplementC4": 26,
        "ProteinuriaGPerDay": 0.05,
        "EgfrMlMin": 100,
        "HasActiveUrinarySediment": false,
 </t>
  </si>
  <si>
    <t xml:space="preserve">       "PriorObservation": null,
        "Name": "sero-ind-e-mensah-1",
        "RelativePath": "/admin/serology/sero-ind-e-mensah-1",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"sero-ind-e-mensah-2",
        "Individual": "ind-e-mensah",
        "ObservedAt": "2025-11-01T00:00:00Z",
        "SequenceIndex": 2,
        "AntiDsDnaIU": 24,
        "ComplementC3": 124,
        "ComplementC4": 27,
        "ProteinuriaGPerDay": 0.04,
        "EgfrMlMin": 101,
        "HasActiveUrinarySediment": false,
        "PriorObservation": "sero-ind-e-mensah-1",
        "Name": "sero-ind-e-mensah-2",
        "RelativePath": "/admin/serology/sero-ind-e-mensah-2",
        "CreatedBy": "v2-step3",
        "CreatedAt": "2026-06-20T00:00:00Z",
        "ModifiedBy": "v2-step3",
        "ModifiedAt": "2026-06-20T00:00:00Z",
        "ModifiedByModel": "claude-opus-4-8",
        "PriorAntiDsDnaIU": 25,
        "PriorC3": 125,
        "PriorC4": 26,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"sero-ind-f-haidar-1",
        "Individual": "ind-f-haidar",
        "ObservedAt": "2025-09-10T00:00:00Z",
        "SequenceIndex": 1,
        "AntiDsDnaIU": 20,
        "ComplementC3": 130,
        "ComplementC4": 28,
        "ProteinuriaGPerDay": 0,
        "EgfrMlMin": 100,
        "HasActiveUrinarySediment": false,
        "PriorObservation": null,
        "Name": "sero-ind-f-haidar-1",
        "RelativePath": "/admin/serology/sero-ind-f-haidar-1",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"sero-ind-f-haidar-2",
        "Individual": "ind-f-haidar",
        "ObservedAt": "2025-12-10T00:00:00Z",
        "SequenceIndex": 2,
        "AntiDsDnaIU": 22,
        "ComplementC3": 128,
        "ComplementC4": 27,
        "ProteinuriaGPerDay": 0,
        "EgfrMlMin": 99,
        "HasActiveUrinarySediment": false,
        "PriorObservation": "sero-ind-f-haidar-1",
        "Name": "sero-ind-f-haidar-2",
        "RelativePath": "/admin/serology/sero-ind-f-haidar-2",
        "CreatedBy": "v2-step3",
        "CreatedAt": "2026-06-20T00:00:00Z",
        "ModifiedBy": "v2-step3",
        "ModifiedAt": "2026-06-20T00:00:00Z",
        "ModifiedByModel": "claude-opus-4-8",
        "PriorAntiDsDnaIU": 20,
        "PriorC3": 130,
        "PriorC4": 28,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"sero-ind-g-lin-1",
        "Individual": "ind-g-lin",
        "ObservedAt": "2025-09-05T00:00:00Z",
        "SequenceIndex": 1,
        "AntiDsDnaIU": 18,
        "ComplementC3": 132,
        "ComplementC4": 29,
        "ProteinuriaGPerDay": 0,
        "EgfrMlMin": 100,
        "HasActiveUrinarySediment": false,
        "PriorObservation": null,
        "Name": "sero-ind-g-lin-1",
        "RelativePath": "/admin/serology/sero-ind-g-lin-1",
        "CreatedBy": "v2-step3",
        "CreatedAt": "2026-06-20T00:00:00Z",
        "ModifiedBy": "v2-step3",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"sero-ind-g-lin-2",
        "Individual": "ind-g-lin",
        "ObservedAt": "2025-12-05T00:00:00Z",
        "SequenceIndex": 2,
        "AntiDsDnaIU": 19,
        "ComplementC3": 131,
        "ComplementC4": 28,
        "ProteinuriaGPerDay": 0,
        "EgfrMlMin": 100,
        "HasActiveUrinarySediment": false,
        "PriorObservation": "sero-ind-g-lin-1",
        "Name": "sero-ind-g-lin-2",
        "RelativePath": "/admin/serology/sero-ind-g-lin-2",
        "CreatedBy": "v2-step3",
        "CreatedAt": "2026-06-20T00:00:00Z",
        "ModifiedBy": "v2-step3",
        "ModifiedAt": "2026-06-20T00:00:00Z",
        "ModifiedByModel": "claude-opus-4-8",
        "PriorAntiDsDnaIU": 18,
        "PriorC3": 132,
        "PriorC4": 29,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"sero-ind-h-yamamoto-1",
        "Individual": "ind-h-yamamoto",
        "ObservedAt": "2025-07-20T00:00:00Z",
        "SequenceIndex": 1,
        "AntiDsDnaIU": 55,
        "ComplementC3": 98,
        "ComplementC4": 19,
        "ProteinuriaGPerDay": 0.3,
        "EgfrMlMin": 90,
        "HasActiveUrinarySediment": false,
        "PriorObservation": null,
        "Name": "sero-ind-h-yamamoto-1",
        "RelativePath": "/admin/serology/sero-ind-h-yamamoto-1",
        "CreatedBy": "v2-step10",
        "CreatedAt": "2026-06-20T00:00:00Z",
        "ModifiedBy": "v2-step10",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"sero-ind-h-yamamoto-2",
        "Individual": "ind-h-yamamoto",
        "ObservedAt": "2025-10-20T00:00:00Z",
        "SequenceIndex": 2,
        "AntiDsDnaIU": 110,
        "ComplementC3": 72,
        "ComplementC4": 11,
        "ProteinuriaGPerDay": 0.7,
        "EgfrMlMin": 85,
        "HasActiveUrinarySediment": false,
        "PriorObservation": "sero-ind-h-yamamoto-1",
        "Name": "sero-ind-h-yamamoto-2",
        "RelativePath": "/admin/serology/sero-ind-h-yamamoto-2",
        "CreatedBy": "v2-step10",
        "CreatedAt": "2026-06-20T00:00:00Z",
        "ModifiedBy": "v2-step10",
        "ModifiedAt": "2026-06-20T00:00:00Z",
        "ModifiedByModel": "claude-opus-4-8",
        "PriorAntiDsDnaIU": 55,
        "PriorC3": 98,
        "PriorC4": 19,
        "AntiDsDnaTrend": "Rising",
        "ComplementTrend": "Falling",
        "IsSignificantProteinuria": true,
        "IsNephroticRangeProteinuria": false,
        "SledaiRenalPoints": 4,
        "SledaiSerologyPoints": 4,
        "SledaiScore": 8,
        "ProgressionStateKey": "EarlyNephritis",
        "ProgressionStateOrder": 3,
        "IsPreNephriticSignaturePanel": true
      },
      {
        "SerologyObservationId": "sero-ind-i-conteh-1",
        "Individual": "ind-i-conteh",
        "ObservedAt": "2025-06-15T00:00:00Z",
        "SequenceIndex": 1,
        "AntiDsDnaIU": 70,
        "ComplementC3": 90,
        "ComplementC4": 16,
        "ProteinuriaGPerDay": 0.5,
        "EgfrMlMin": 84,
        "HasActiveUrinarySediment": false,
        "PriorObservation": null,
        "Name": "sero-ind-i-conteh-1",
        "RelativePath": "/admin/serology/sero-ind-i-conteh-1",
        "CreatedBy": "v2-step10",
        "CreatedAt": "2026-06-20T00:00:00Z",
        "ModifiedBy": "v2-step10",
        "ModifiedAt": "2026-06-20T00:00:00Z",
        "ModifiedByModel": "claude-opus-4-8",
        "PriorAntiDsDnaIU": null,
        "PriorC3": null,
        "PriorC4": null,
        "AntiDsDnaTrend": "Stable",
        "ComplementTrend": "Stable",
        "IsSignificantProteinuria": true,
        "IsNephroticRangeProteinuria": false,
        "SledaiRenalPoints": 4,
        "SledaiSerologyPoints": 0,
        "SledaiScore": 4,
        "ProgressionStateKey": "EarlyNephritis",
        "ProgressionStateOrder": 3,
        "IsPreNephriticSignaturePanel": false
      },
      {
        "SerologyObservationId": "sero-ind-i-conteh-2",
        "Individual": "ind-i-conteh",
        "ObservedAt": "2025-09-15T00:00:00Z",
        "SequenceIndex": 2,
        "AntiDsDnaIU": 150,
        "ComplementC3": 55,
        "ComplementC4": 8,
        "ProteinuriaGPerDay": 1.5,
        "EgfrMlMin": 76,
        "HasActiveUrinarySediment": false,
        "PriorObservation": "sero-ind-i-conteh-1",
        "Name": "sero-ind-i-conteh-2",
        "RelativePath": "/admin/serology/sero-ind-i-conteh-2",
        "CreatedBy": "v2-step10",
        "CreatedAt": "2026-06-20T00:00:00Z",
        "ModifiedBy": "v2-step10",
        "ModifiedAt": "2026-06-20T00:00:00Z",
        "ModifiedByModel": "claude-opus-4-8",
        "PriorAntiDsDnaIU": 70,
        "PriorC3": 90,
        "PriorC4": 16,
        "AntiDsDnaTrend": "Rising",
        "ComplementTrend": "Falling",
        "IsSignificantProteinuria": true,
        "IsNephroticRangeProteinuria": false,
        "SledaiRenalPoints": 4,
        "SledaiSerologyPoints": 4,
        "SledaiScore": 8,
        "ProgressionStateKey": "RenalFlareRisk",
        "ProgressionStateOrder": 4,
        "IsPreNephriticSignaturePanel": true
      },
      {
        "SerologyObservationId": "sero-ind-j-brooks-1",
        "Individual": "ind-j-brooks",
        "ObservedAt": "2025-08-01T00:00:00Z",
        "SequenceIndex": 1,
        "AntiDsDnaIU": 48,
        "ComplementC3": 100,
        "ComplementC4": 20,
        "ProteinuriaGPerDay": 0.2,
        "EgfrMlMin": 92,
        "HasActiveUrinarySediment": false,
        "PriorObservation": null,
        "Name": "sero-ind-j-brooks-1",
        "RelativePath": "/admin/serology/sero-ind-j-brooks-1",
        "CreatedBy": "v2-step10",
        "CreatedAt": "2026-06-20T00:00:00Z",
        "ModifiedBy": "v2-step10",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"sero-ind-j-brooks-2",
        "Individual": "ind-j-brooks",
        "ObservedAt": "2025-11-01T00:00:00Z",
        "SequenceIndex": 2,
        "AntiDsDnaIU": 115,
        "ComplementC3": 70,
        "ComplementC4": 10,
        "ProteinuriaGPerDay": 0.3,
        "EgfrMlMin": 90,
        "HasActiveUrinarySediment": false,
        "PriorObservation": "sero-ind-j-brooks-1",
        "Name": "sero-ind-j-brooks-2",
        "RelativePath": "/admin/serology/sero-ind-j-brooks-2",
        "CreatedBy": "v2-step10",
        "CreatedAt": "2026-06-20T00:00:00Z",
        "ModifiedBy": "v2-step10",
        "ModifiedAt": "2026-06-20T00:00:00Z",
        "ModifiedByModel": "claude-opus-4-8",
        "PriorAntiDsDnaIU": 48,
        "PriorC3": 100,
        "PriorC4": 20,
        "AntiDsDnaTrend": "Rising",
        "ComplementTrend": "Falling",
        "IsSignificantProteinuria": false,
        "IsNephroticRangeProteinuria": false,
        "SledaiRenalPoints": 0,
        "SledaiSerologyPoints": 4,
        "SledaiScore": 4,
        "ProgressionStateKey": "SerologicActive",
        "ProgressionStateOrder": 2,
        "IsPreNephriticSignaturePanel": true
      },
      {
        "SerologyObservationId": "sero-ind-k-nair-1",
        "Individual": "ind-k-nair",
        "ObservedAt": "2025-07-05T00:00:00Z",
        "SequenceIndex": 1,
        "AntiDsDnaIU": 30,
        "ComplementC3": 120,
        "ComplementC4": 25,
        "ProteinuriaGPerDay": 0.05,
        "EgfrMlMin": 99,
        "HasActiveUrinarySediment": false,
        "PriorObservation": null,
        "Name": "sero-ind-k-nair-1",
        "RelativePath": "/admin/serology/sero-ind-k-nair-1",
        "CreatedBy": "v2-step10",
        "CreatedAt": "2026-06-20T00:00:00Z",
        "ModifiedBy": "v2-step10",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"sero-ind-k-nair-2",
        "Individual": "ind-k-nair",
        "ObservedAt": "2025-10-05T00:00:00Z",
        "SequenceIndex": 2,
        "AntiDsDnaIU": 33,
        "ComplementC3": 118,
        "ComplementC4": 24,
        "ProteinuriaGPerDay": 0.08,
        "EgfrMlMin": 98,
        "HasActiveUrinarySediment": false,
        "PriorObservation": "sero-ind-k-nair-1",
        "Name": "sero-ind-k-nair-2",
        "RelativePath": "/admin/serology/sero-ind-k-nair-2",
        "CreatedBy": "v2-step10",
        "CreatedAt": "2026-06-20T00:00:00Z",
        "ModifiedBy": "v2-step10",
        "ModifiedAt": "2026-06-20T00:00:00Z",
        "ModifiedByModel": "claude-opus-4-8",
        "PriorAntiDsDnaIU": 30,
        "PriorC3": 120,
        "PriorC4": 25,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"sero-ind-l-brandt-1",
        "Individual": "ind-l-brandt",
        "ObservedAt": "2025-09-05T00:00:00Z",
        "SequenceIndex": 1,
        "AntiDsDnaIU": 22,
        "ComplementC3": 130,
        "ComplementC4": 28,
        "ProteinuriaGPerDay": 0,
        "EgfrMlMin": 100,
        "HasActiveUrinarySediment": false,
        "PriorObservation": null,
        "Name": "sero-ind-l-brandt-1",
        "RelativePath": "/admin/serology/sero-ind-l-brandt-1",
        "CreatedBy": "v2-step10",
        "CreatedAt": "2026-06-20T00:00:00Z",
        "ModifiedBy": "v2-step10",
        "ModifiedAt": "2026-06-20T00:00:00Z",
        "ModifiedByModel": "claude-opus-4-8",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"IsPreNephriticSignaturePanel": false
      },
      {
        "SerologyObservationId": "sero-ind-l-brandt-2",
        "Individual": "ind-l-brandt",
        "ObservedAt": "2025-12-05T00:00:00Z",
        "SequenceIndex": 2,
        "AntiDsDnaIU": 24,
        "ComplementC3": 128,
        "ComplementC4": 27,
        "ProteinuriaGPerDay": 0,
        "EgfrMlMin": 100,
        "HasActiveUrinarySediment": false,
        "PriorObservation": "sero-ind-l-brandt-1",
        "Name": "sero-ind-l-brandt-2",
        "RelativePath": "/admin/serology/sero-ind-l-brandt-2",
        "CreatedBy": "v2-step10",
        "CreatedAt": "2026-06-20T00:00:00Z",
        "ModifiedBy": "v2-step10",
        "ModifiedAt": "2026-06-20T00:00:00Z",
        "ModifiedByModel": "claude-opus-4-8",
        "PriorAntiDsDnaIU": 22,
        "PriorC3": 130,
        "PriorC4": 28,
        "AntiDsDnaTrend": "Stable",
        "ComplementTrend": "Stable",
        "IsSignificantProteinuria": false,
        "IsNephroticRangeProteinuria": false,
        "SledaiRenalPoints": 0,
        "SledaiSerologyPoints": 0,
        "SledaiScore": 0,
        "ProgressionStateKey": "PresymptomaticAutoimmunity",
        "ProgressionStateOrder": 1,
        "IsPreNephriticSignaturePanel": false
      }
    ]
  },
  "TherapyOptions": {
    "Description": "Therapy lookup for the treatment-line-selection DAG (MMF/belimumab/anifrolumab/secukinumab).",
    "schema": [
      {
        "name": "TherapyOptionId",
        "datatype": "string",
        "type": "raw",
        "nullable": false,
        "Description": "Slug PK."
      },
      {
        "name": "TherapyLabel",
        "datatype": "string",
        "type": "raw",
        "nullable": false,
        "Description": "Therapy name."
      },
      {
        "name": "TargetsPathway",
        "datatype": "string",
        "type": "raw",
        "nullable": true,
        "Description": "Pathway this therapy targets (matches CausalMechanisms.TargetPathway)."
      },
      {
        "name": "LineOrdinal",
        "datatype": "number",
        "type": "raw",
        "nullable": true,
        "Description": "Treatment-line ordinal (1=first-line/induction)."
      },
      {
        "name": "PreferredWhen",
        "datatype": "string",
        "type": "raw",
        "nullable": true,
        "Description": "Clinical context where preferred."
      },
      {
        "name": "Name",
        "datatype": "string",
        "type": "calculated",
        "nullable": true,
        "formula": "={{TherapyLabel}}",
        "Description": "Echo."
      },
      {
        "name": "RelativePath",
        "datatype": "string",
        "type": "calculated",
        "nullable": true,
        "formula": "=\"/admin/therapy-options/\" &amp; {{TherapyOptionId}}",
        "Description": "Path."
      }
    ],
    "data": [
      {
        "TherapyOptionId": "mmf",
        "TherapyLabel": "Mycophenolate (MMF)",
        "TargetsPathway": "organ-induction",
        "LineOrdinal": 1,
        "PreferredWhen": "active nephritis (proteinuria-driven)",
        "Name": "Mycophenolate (MMF)",
        "RelativePath": "/admin/therapy-options/mmf",
        "CreatedBy": "v2-step3",
        "CreatedAt": "2026-06-20T00:00:00Z",
        "ModifiedBy": "v2-step3",
        "ModifiedAt": "2026-06-20T00:00:00Z",
        "ModifiedByModel": "claude-opus-4-8"
      },
      {
        "TherapyOptionId": "belimumab",
        "TherapyLabel": "Belimumab (anti-BLyS)",
        "TargetsPathway": "B-cell/autoantibody",
        "LineOrdinal": 2,
        "PreferredWhen": "serologically active, autoantibody-driven",
        "Name": "Belimumab (anti-BLyS)",
        "RelativePath": "/admin/therapy-options/belimumab",
        "CreatedBy": "v2-step3",
        "CreatedAt": "2026-06-20T00:00:00Z",
        "ModifiedBy": "v2-step3",
        "ModifiedAt": "2026-06-20T00:00:00Z",
        "ModifiedByModel": "claude-opus-4-8"
      },
      {
        "TherapyOptionId": "anifrolumab",
        "TherapyLabel": "Anifrolumab (anti-IFNAR1)",
        "TargetsPathway": "type-I-IFN",
        "LineOrdinal": 2,
        "PreferredWhen": "type-I-IFN-signature mechanism",
        "Name": "Anifrolumab (anti-IFNAR1)",
        "RelativePath": "/admin/therapy-options/anifrolumab",
        "CreatedBy": "v2-step3",
        "CreatedAt": "2026-06-20T00:00:00Z",
        "ModifiedBy": "v2-step3",
        "ModifiedAt": "2026-06-20T00:00:00Z",
        "ModifiedByModel": "claude-opus-4-8"
      },
      {
        "TherapyOptionId": "secukinumab",
        "TherapyLabel": "Secukinumab (anti-IL-17)",
        "TargetsPathway": "IL-17/23",
        "LineOrdinal": 2,
        "PreferredWhen": "IL-17/23-axis disease (PsA/SpA)",
        "Name": "Secukinumab (anti-IL-17)",
        "RelativePath": "/admin/therapy-options/secukinumab",
        "CreatedBy": "v2-step3",
        "CreatedAt": "2026-06-20T00:00:00Z",
        "ModifiedBy": "v2-step3",
        "ModifiedAt": "2026-06-20T00:00:00Z",
        "ModifiedByModel": "claude-opus-4-8"
      }
    ]
  }
}
</t>
  </si>
</sst>
</file>

<file path=xl/styles.xml><?xml version="1.0" encoding="utf-8"?>
<styleSheet xmlns="http://schemas.openxmlformats.org/spreadsheetml/2006/main">
  <numFmts count="1">
    <numFmt numFmtId="164" formatCode="m/d/yyyy h:mm:ss AM/PM"/>
  </numFmts>
  <fonts count="2">
    <font>
      <sz val="11"/>
      <name val="Aptos Narrow"/>
    </font>
    <font>
      <b/>
      <sz val="11"/>
      <color rgb="FFFFFFFF"/>
      <name val="Aptos Narrow"/>
    </font>
  </fonts>
  <fills count="5">
    <fill>
      <patternFill patternType="none"/>
    </fill>
    <fill>
      <patternFill patternType="gray125"/>
    </fill>
    <fill>
      <patternFill patternType="solid">
        <fgColor rgb="FF4F81BD"/>
      </patternFill>
    </fill>
    <fill>
      <patternFill patternType="solid">
        <fgColor rgb="FFE7E6E6"/>
      </patternFill>
    </fill>
    <fill>
      <patternFill patternType="solid">
        <fgColor rgb="FFD9EAD3"/>
      </patternFill>
    </fill>
  </fills>
  <borders count="1">
    <border>
      <left/>
      <right/>
      <top/>
      <bottom/>
      <diagonal/>
    </border>
  </borders>
  <cellStyleXfs count="1">
    <xf numFmtId="0" fontId="0"/>
  </cellStyleXfs>
  <cellXfs count="7">
    <xf numFmtId="0" fontId="0" xfId="0"/>
    <xf numFmtId="0" fontId="1" applyFont="1" fillId="2" applyFill="1"/>
    <xf numFmtId="0" fontId="0" fillId="3" applyFill="1"/>
    <xf numFmtId="0" fontId="0" fillId="4" applyFill="1"/>
    <xf numFmtId="1" applyNumberFormat="1" fontId="0" fillId="4" applyFill="1"/>
    <xf numFmtId="1" applyNumberFormat="1" fontId="0" fillId="3" applyFill="1"/>
    <xf numFmtId="164" applyNumberFormat="1" fontId="0" fillId="3"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0.xml.rels><?xml version="1.0" encoding="UTF-8" standalone="yes"?><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4"/>
  <sheetViews>
    <sheetView workbookViewId="0">
      <pane ySplit="1" topLeftCell="A2" state="frozen" activePane="bottomLeft"/>
      <selection pane="bottomLeft" activeCell="A1" sqref="A1"/>
    </sheetView>
  </sheetViews>
  <sheetFormatPr defaultRowHeight="15"/>
  <cols>
    <col min="1" max="1" width="22.495370864868164" customWidth="1"/>
    <col min="2" max="2" width="29.51004981994629" customWidth="1"/>
    <col min="3" max="3" width="18.49428367614746" customWidth="1"/>
    <col min="4" max="4" width="29.51004981994629" customWidth="1"/>
    <col min="5" max="5" width="17.443378448486328" customWidth="1"/>
    <col min="6" max="6" width="22.668813705444336" customWidth="1"/>
    <col min="7" max="7" width="27.7047176361084" customWidth="1"/>
    <col min="8" max="8" width="17.443378448486328" customWidth="1"/>
    <col min="9" max="9" width="17.443378448486328" customWidth="1"/>
    <col min="10" max="10" width="18.857349395751953" customWidth="1"/>
    <col min="11" max="11" width="21.070524215698242" customWidth="1"/>
    <col min="12" max="12" width="26.026485443115234" customWidth="1"/>
    <col min="13" max="13" width="20.33330726623535" customWidth="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b">
        <v>1</v>
      </c>
      <c r="D2" s="3" t="str">
        <f>B2</f>
        <v>Systemic Lupus Erythematosus</v>
      </c>
      <c r="E2" s="3" t="str">
        <f>"/diseases/" &amp; A2</f>
        <v>/diseases/sle</v>
      </c>
      <c r="F2" s="4">
        <f>COUNTIFS(DiseaseStages!D2:D999, A2)</f>
        <v>3</v>
      </c>
      <c r="G2" s="4">
        <f>COUNTIFS(InterventionTargets!D2:D999, A2)</f>
        <v>7</v>
      </c>
      <c r="H2" s="2"/>
      <c r="I2" s="2"/>
      <c r="J2" s="2"/>
      <c r="K2" s="2"/>
      <c r="L2" s="2"/>
      <c r="M2" s="2"/>
    </row>
    <row r="3">
      <c r="A3" s="2" t="s">
        <v>15</v>
      </c>
      <c r="B3" s="2" t="s">
        <v>16</v>
      </c>
      <c r="C3" s="2" t="b">
        <v>1</v>
      </c>
      <c r="D3" s="3" t="str">
        <f>B3</f>
        <v>Rheumatoid Arthritis</v>
      </c>
      <c r="E3" s="3" t="str">
        <f>"/diseases/" &amp; A3</f>
        <v>/diseases/ra</v>
      </c>
      <c r="F3" s="4">
        <f>COUNTIFS(DiseaseStages!D2:D999, A3)</f>
        <v>2</v>
      </c>
      <c r="G3" s="4">
        <f>COUNTIFS(InterventionTargets!D2:D999, A3)</f>
        <v>0</v>
      </c>
      <c r="H3" s="2"/>
      <c r="I3" s="2"/>
      <c r="J3" s="2"/>
      <c r="K3" s="2"/>
      <c r="L3" s="2"/>
      <c r="M3" s="2"/>
    </row>
    <row r="4">
      <c r="A4" s="2" t="s">
        <v>17</v>
      </c>
      <c r="B4" s="2" t="s">
        <v>18</v>
      </c>
      <c r="C4" s="2" t="b">
        <v>1</v>
      </c>
      <c r="D4" s="3" t="str">
        <f>B4</f>
        <v>Psoriatic Arthritis</v>
      </c>
      <c r="E4" s="3" t="str">
        <f>"/diseases/" &amp; A4</f>
        <v>/diseases/psa</v>
      </c>
      <c r="F4" s="4">
        <f>COUNTIFS(DiseaseStages!D2:D999, A4)</f>
        <v>1</v>
      </c>
      <c r="G4" s="4">
        <f>COUNTIFS(InterventionTargets!D2:D999, A4)</f>
        <v>4</v>
      </c>
      <c r="H4" s="2"/>
      <c r="I4" s="2"/>
      <c r="J4" s="2"/>
      <c r="K4" s="2"/>
      <c r="L4" s="2"/>
      <c r="M4" s="2"/>
    </row>
  </sheetData>
  <autoFilter ref="A1:M1"/>
  <headerFooter/>
  <legacy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7"/>
  <sheetViews>
    <sheetView workbookViewId="0">
      <pane ySplit="1" topLeftCell="A2" state="frozen" activePane="bottomLeft"/>
      <selection pane="bottomLeft" activeCell="A1" sqref="A1"/>
    </sheetView>
  </sheetViews>
  <sheetFormatPr defaultRowHeight="15"/>
  <cols>
    <col min="1" max="1" width="19.842985153198242" customWidth="1"/>
    <col min="2" max="2" width="17.443378448486328" customWidth="1"/>
    <col min="3" max="3" width="17.443378448486328" customWidth="1"/>
    <col min="4" max="4" width="20.492414474487305" customWidth="1"/>
    <col min="5" max="5" width="48.20830535888672" customWidth="1"/>
    <col min="6" max="6" width="17.443378448486328" customWidth="1"/>
    <col min="7" max="7" width="38.731529235839844" customWidth="1"/>
    <col min="8" max="8" width="31.932634353637695" customWidth="1"/>
    <col min="9" max="9" width="18.366439819335938" customWidth="1"/>
  </cols>
  <sheetData>
    <row r="1">
      <c r="A1" s="1" t="s">
        <v>19</v>
      </c>
      <c r="B1" s="1" t="s">
        <v>20</v>
      </c>
      <c r="C1" s="1" t="s">
        <v>21</v>
      </c>
      <c r="D1" s="1" t="s">
        <v>22</v>
      </c>
      <c r="E1" s="1" t="s">
        <v>3</v>
      </c>
      <c r="F1" s="1" t="s">
        <v>23</v>
      </c>
      <c r="G1" s="1" t="s">
        <v>4</v>
      </c>
      <c r="H1" s="1" t="s">
        <v>24</v>
      </c>
      <c r="I1" s="1" t="s">
        <v>25</v>
      </c>
    </row>
    <row r="2">
      <c r="A2" s="2" t="s">
        <v>26</v>
      </c>
      <c r="B2" s="2" t="s">
        <v>27</v>
      </c>
      <c r="C2" s="5">
        <v>1</v>
      </c>
      <c r="D2" s="2" t="s">
        <v>13</v>
      </c>
      <c r="E2" s="3" t="str">
        <f>H2 &amp; " — " &amp; B2</f>
        <v>Systemic Lupus Erythematosus — Presymptomatic</v>
      </c>
      <c r="F2" s="3" t="str">
        <f>INDEX(AutoimmuneDiseases!E2:E999, MATCH(D2,AutoimmuneDiseases!A2:A999, 0))</f>
        <v>/diseases/sle</v>
      </c>
      <c r="G2" s="3" t="str">
        <f>F2 &amp; "/stages/" &amp; A2</f>
        <v>/diseases/sle/stages/sle-presymptomatic</v>
      </c>
      <c r="H2" s="3" t="str">
        <f>INDEX(AutoimmuneDiseases!B2:B999, MATCH(D2,AutoimmuneDiseases!A2:A999, 0))</f>
        <v>Systemic Lupus Erythematosus</v>
      </c>
      <c r="I2" s="3" t="b">
        <f>IF(B2 = "Presymptomatic", TRUE(), FALSE())</f>
        <v>1</v>
      </c>
    </row>
    <row r="3">
      <c r="A3" s="2" t="s">
        <v>28</v>
      </c>
      <c r="B3" s="2" t="s">
        <v>29</v>
      </c>
      <c r="C3" s="5">
        <v>2</v>
      </c>
      <c r="D3" s="2" t="s">
        <v>13</v>
      </c>
      <c r="E3" s="3" t="str">
        <f>H3 &amp; " — " &amp; B3</f>
        <v>Systemic Lupus Erythematosus — Active</v>
      </c>
      <c r="F3" s="3" t="str">
        <f>INDEX(AutoimmuneDiseases!E2:E999, MATCH(D3,AutoimmuneDiseases!A2:A999, 0))</f>
        <v>/diseases/sle</v>
      </c>
      <c r="G3" s="3" t="str">
        <f>F3 &amp; "/stages/" &amp; A3</f>
        <v>/diseases/sle/stages/sle-active</v>
      </c>
      <c r="H3" s="3" t="str">
        <f>INDEX(AutoimmuneDiseases!B2:B999, MATCH(D3,AutoimmuneDiseases!A2:A999, 0))</f>
        <v>Systemic Lupus Erythematosus</v>
      </c>
      <c r="I3" s="3" t="b">
        <f>IF(B3 = "Presymptomatic", TRUE(), FALSE())</f>
        <v>0</v>
      </c>
    </row>
    <row r="4">
      <c r="A4" s="2" t="s">
        <v>30</v>
      </c>
      <c r="B4" s="2" t="s">
        <v>31</v>
      </c>
      <c r="C4" s="5">
        <v>3</v>
      </c>
      <c r="D4" s="2" t="s">
        <v>13</v>
      </c>
      <c r="E4" s="3" t="str">
        <f>H4 &amp; " — " &amp; B4</f>
        <v>Systemic Lupus Erythematosus — Remission</v>
      </c>
      <c r="F4" s="3" t="str">
        <f>INDEX(AutoimmuneDiseases!E2:E999, MATCH(D4,AutoimmuneDiseases!A2:A999, 0))</f>
        <v>/diseases/sle</v>
      </c>
      <c r="G4" s="3" t="str">
        <f>F4 &amp; "/stages/" &amp; A4</f>
        <v>/diseases/sle/stages/sle-remission</v>
      </c>
      <c r="H4" s="3" t="str">
        <f>INDEX(AutoimmuneDiseases!B2:B999, MATCH(D4,AutoimmuneDiseases!A2:A999, 0))</f>
        <v>Systemic Lupus Erythematosus</v>
      </c>
      <c r="I4" s="3" t="b">
        <f>IF(B4 = "Presymptomatic", TRUE(), FALSE())</f>
        <v>0</v>
      </c>
    </row>
    <row r="5">
      <c r="A5" s="2" t="s">
        <v>32</v>
      </c>
      <c r="B5" s="2" t="s">
        <v>29</v>
      </c>
      <c r="C5" s="5">
        <v>1</v>
      </c>
      <c r="D5" s="2" t="s">
        <v>15</v>
      </c>
      <c r="E5" s="3" t="str">
        <f>H5 &amp; " — " &amp; B5</f>
        <v>Rheumatoid Arthritis — Active</v>
      </c>
      <c r="F5" s="3" t="str">
        <f>INDEX(AutoimmuneDiseases!E2:E999, MATCH(D5,AutoimmuneDiseases!A2:A999, 0))</f>
        <v>/diseases/ra</v>
      </c>
      <c r="G5" s="3" t="str">
        <f>F5 &amp; "/stages/" &amp; A5</f>
        <v>/diseases/ra/stages/ra-active</v>
      </c>
      <c r="H5" s="3" t="str">
        <f>INDEX(AutoimmuneDiseases!B2:B999, MATCH(D5,AutoimmuneDiseases!A2:A999, 0))</f>
        <v>Rheumatoid Arthritis</v>
      </c>
      <c r="I5" s="3" t="b">
        <f>IF(B5 = "Presymptomatic", TRUE(), FALSE())</f>
        <v>0</v>
      </c>
    </row>
    <row r="6">
      <c r="A6" s="2" t="s">
        <v>33</v>
      </c>
      <c r="B6" s="2" t="s">
        <v>31</v>
      </c>
      <c r="C6" s="5">
        <v>2</v>
      </c>
      <c r="D6" s="2" t="s">
        <v>15</v>
      </c>
      <c r="E6" s="3" t="str">
        <f>H6 &amp; " — " &amp; B6</f>
        <v>Rheumatoid Arthritis — Remission</v>
      </c>
      <c r="F6" s="3" t="str">
        <f>INDEX(AutoimmuneDiseases!E2:E999, MATCH(D6,AutoimmuneDiseases!A2:A999, 0))</f>
        <v>/diseases/ra</v>
      </c>
      <c r="G6" s="3" t="str">
        <f>F6 &amp; "/stages/" &amp; A6</f>
        <v>/diseases/ra/stages/ra-remission</v>
      </c>
      <c r="H6" s="3" t="str">
        <f>INDEX(AutoimmuneDiseases!B2:B999, MATCH(D6,AutoimmuneDiseases!A2:A999, 0))</f>
        <v>Rheumatoid Arthritis</v>
      </c>
      <c r="I6" s="3" t="b">
        <f>IF(B6 = "Presymptomatic", TRUE(), FALSE())</f>
        <v>0</v>
      </c>
    </row>
    <row r="7">
      <c r="A7" s="2" t="s">
        <v>34</v>
      </c>
      <c r="B7" s="2" t="s">
        <v>29</v>
      </c>
      <c r="C7" s="5">
        <v>1</v>
      </c>
      <c r="D7" s="2" t="s">
        <v>17</v>
      </c>
      <c r="E7" s="3" t="str">
        <f>H7 &amp; " — " &amp; B7</f>
        <v>Psoriatic Arthritis — Active</v>
      </c>
      <c r="F7" s="3" t="str">
        <f>INDEX(AutoimmuneDiseases!E2:E999, MATCH(D7,AutoimmuneDiseases!A2:A999, 0))</f>
        <v>/diseases/psa</v>
      </c>
      <c r="G7" s="3" t="str">
        <f>F7 &amp; "/stages/" &amp; A7</f>
        <v>/diseases/psa/stages/psa-active</v>
      </c>
      <c r="H7" s="3" t="str">
        <f>INDEX(AutoimmuneDiseases!B2:B999, MATCH(D7,AutoimmuneDiseases!A2:A999, 0))</f>
        <v>Psoriatic Arthritis</v>
      </c>
      <c r="I7" s="3" t="b">
        <f>IF(B7 = "Presymptomatic", TRUE(), FALSE())</f>
        <v>0</v>
      </c>
    </row>
  </sheetData>
  <autoFilter ref="A1:I1"/>
  <headerFooter/>
  <legacyDrawing r:id="rId1"/>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6"/>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17.98682403564453" customWidth="1"/>
    <col min="5" max="5" width="21.183137893676758" customWidth="1"/>
    <col min="6" max="6" width="17.443378448486328" customWidth="1"/>
  </cols>
  <sheetData>
    <row r="1">
      <c r="A1" s="1" t="s">
        <v>35</v>
      </c>
      <c r="B1" s="1" t="s">
        <v>36</v>
      </c>
      <c r="C1" s="1" t="s">
        <v>3</v>
      </c>
      <c r="D1" s="1" t="s">
        <v>4</v>
      </c>
      <c r="E1" s="1" t="s">
        <v>37</v>
      </c>
      <c r="F1" s="1" t="s">
        <v>38</v>
      </c>
    </row>
    <row r="2">
      <c r="A2" s="2" t="s">
        <v>39</v>
      </c>
      <c r="B2" s="2" t="s">
        <v>40</v>
      </c>
      <c r="C2" s="3" t="str">
        <f>B2</f>
        <v>Blood</v>
      </c>
      <c r="D2" s="3" t="str">
        <f>"/tissues/" &amp; A2</f>
        <v>/tissues/blood</v>
      </c>
      <c r="E2" s="4">
        <f>COUNTIFS(OmicsAssays!E2:E999, A2)</f>
        <v>36</v>
      </c>
      <c r="F2" s="2"/>
    </row>
    <row r="3">
      <c r="A3" s="2" t="s">
        <v>41</v>
      </c>
      <c r="B3" s="2" t="s">
        <v>42</v>
      </c>
      <c r="C3" s="3" t="str">
        <f>B3</f>
        <v>Gut</v>
      </c>
      <c r="D3" s="3" t="str">
        <f>"/tissues/" &amp; A3</f>
        <v>/tissues/gut</v>
      </c>
      <c r="E3" s="4">
        <f>COUNTIFS(OmicsAssays!E2:E999, A3)</f>
        <v>0</v>
      </c>
      <c r="F3" s="2"/>
    </row>
    <row r="4">
      <c r="A4" s="2" t="s">
        <v>43</v>
      </c>
      <c r="B4" s="2" t="s">
        <v>44</v>
      </c>
      <c r="C4" s="3" t="str">
        <f>B4</f>
        <v>Synovium</v>
      </c>
      <c r="D4" s="3" t="str">
        <f>"/tissues/" &amp; A4</f>
        <v>/tissues/synovium</v>
      </c>
      <c r="E4" s="4">
        <f>COUNTIFS(OmicsAssays!E2:E999, A4)</f>
        <v>0</v>
      </c>
      <c r="F4" s="2"/>
    </row>
    <row r="5">
      <c r="A5" s="2" t="s">
        <v>45</v>
      </c>
      <c r="B5" s="2" t="s">
        <v>46</v>
      </c>
      <c r="C5" s="3" t="str">
        <f>B5</f>
        <v>Skin</v>
      </c>
      <c r="D5" s="3" t="str">
        <f>"/tissues/" &amp; A5</f>
        <v>/tissues/skin</v>
      </c>
      <c r="E5" s="4">
        <f>COUNTIFS(OmicsAssays!E2:E999, A5)</f>
        <v>0</v>
      </c>
      <c r="F5" s="2"/>
    </row>
    <row r="6">
      <c r="A6" s="2" t="s">
        <v>47</v>
      </c>
      <c r="B6" s="2" t="s">
        <v>48</v>
      </c>
      <c r="C6" s="3" t="str">
        <f>B6</f>
        <v>Kidney</v>
      </c>
      <c r="D6" s="3" t="str">
        <f>"/tissues/" &amp; A6</f>
        <v>/tissues/kidney</v>
      </c>
      <c r="E6" s="4">
        <f>COUNTIFS(OmicsAssays!E2:E999, A6)</f>
        <v>0</v>
      </c>
      <c r="F6" s="2"/>
    </row>
  </sheetData>
  <autoFilter ref="A1:F1"/>
  <headerFooter/>
  <legacyDrawing r:id="rId1"/>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9"/>
  <sheetViews>
    <sheetView workbookViewId="0">
      <pane ySplit="1" topLeftCell="A2" state="frozen" activePane="bottomLeft"/>
      <selection pane="bottomLeft" activeCell="A1" sqref="A1"/>
    </sheetView>
  </sheetViews>
  <sheetFormatPr defaultRowHeight="15"/>
  <cols>
    <col min="1" max="1" width="19.666948318481445" customWidth="1"/>
    <col min="2" max="2" width="49.941062927246094" customWidth="1"/>
    <col min="3" max="3" width="17.443378448486328" customWidth="1"/>
    <col min="4" max="4" width="49.941062927246094" customWidth="1"/>
    <col min="5" max="5" width="36.5180549621582" customWidth="1"/>
    <col min="6" max="6" width="21.183137893676758" customWidth="1"/>
    <col min="7" max="7" width="17.443378448486328" customWidth="1"/>
  </cols>
  <sheetData>
    <row r="1">
      <c r="A1" s="1" t="s">
        <v>49</v>
      </c>
      <c r="B1" s="1" t="s">
        <v>50</v>
      </c>
      <c r="C1" s="1" t="s">
        <v>51</v>
      </c>
      <c r="D1" s="1" t="s">
        <v>3</v>
      </c>
      <c r="E1" s="1" t="s">
        <v>4</v>
      </c>
      <c r="F1" s="1" t="s">
        <v>37</v>
      </c>
      <c r="G1" s="1" t="s">
        <v>38</v>
      </c>
    </row>
    <row r="2">
      <c r="A2" s="2" t="s">
        <v>52</v>
      </c>
      <c r="B2" s="2" t="s">
        <v>53</v>
      </c>
      <c r="C2" s="2" t="b">
        <v>0</v>
      </c>
      <c r="D2" s="3" t="str">
        <f>B2</f>
        <v>Phased Telomere-to-Telomere Long-Read Genomes</v>
      </c>
      <c r="E2" s="3" t="str">
        <f>"/omics-modalities/" &amp; A2</f>
        <v>/omics-modalities/long-read-genomes</v>
      </c>
      <c r="F2" s="4">
        <f>COUNTIFS(OmicsAssays!D2:D999, A2)</f>
        <v>0</v>
      </c>
      <c r="G2" s="2"/>
    </row>
    <row r="3">
      <c r="A3" s="2" t="s">
        <v>54</v>
      </c>
      <c r="B3" s="2" t="s">
        <v>55</v>
      </c>
      <c r="C3" s="2" t="b">
        <v>0</v>
      </c>
      <c r="D3" s="3" t="str">
        <f>B3</f>
        <v>RNA-seq</v>
      </c>
      <c r="E3" s="3" t="str">
        <f>"/omics-modalities/" &amp; A3</f>
        <v>/omics-modalities/rna-seq</v>
      </c>
      <c r="F3" s="4">
        <f>COUNTIFS(OmicsAssays!D2:D999, A3)</f>
        <v>12</v>
      </c>
      <c r="G3" s="2"/>
    </row>
    <row r="4">
      <c r="A4" s="2" t="s">
        <v>56</v>
      </c>
      <c r="B4" s="2" t="s">
        <v>57</v>
      </c>
      <c r="C4" s="2" t="b">
        <v>1</v>
      </c>
      <c r="D4" s="3" t="str">
        <f>B4</f>
        <v>Single-Cell RNA-seq</v>
      </c>
      <c r="E4" s="3" t="str">
        <f>"/omics-modalities/" &amp; A4</f>
        <v>/omics-modalities/single-cell-rna</v>
      </c>
      <c r="F4" s="4">
        <f>COUNTIFS(OmicsAssays!D2:D999, A4)</f>
        <v>0</v>
      </c>
      <c r="G4" s="2"/>
    </row>
    <row r="5">
      <c r="A5" s="2" t="s">
        <v>58</v>
      </c>
      <c r="B5" s="2" t="s">
        <v>59</v>
      </c>
      <c r="C5" s="2" t="b">
        <v>0</v>
      </c>
      <c r="D5" s="3" t="str">
        <f>B5</f>
        <v>ATAC-seq</v>
      </c>
      <c r="E5" s="3" t="str">
        <f>"/omics-modalities/" &amp; A5</f>
        <v>/omics-modalities/atac-seq</v>
      </c>
      <c r="F5" s="4">
        <f>COUNTIFS(OmicsAssays!D2:D999, A5)</f>
        <v>12</v>
      </c>
      <c r="G5" s="2"/>
    </row>
    <row r="6">
      <c r="A6" s="2" t="s">
        <v>60</v>
      </c>
      <c r="B6" s="2" t="s">
        <v>61</v>
      </c>
      <c r="C6" s="2" t="b">
        <v>0</v>
      </c>
      <c r="D6" s="3" t="str">
        <f>B6</f>
        <v>Proteomics</v>
      </c>
      <c r="E6" s="3" t="str">
        <f>"/omics-modalities/" &amp; A6</f>
        <v>/omics-modalities/proteomics</v>
      </c>
      <c r="F6" s="4">
        <f>COUNTIFS(OmicsAssays!D2:D999, A6)</f>
        <v>12</v>
      </c>
      <c r="G6" s="2"/>
    </row>
    <row r="7">
      <c r="A7" s="2" t="s">
        <v>62</v>
      </c>
      <c r="B7" s="2" t="s">
        <v>63</v>
      </c>
      <c r="C7" s="2" t="b">
        <v>0</v>
      </c>
      <c r="D7" s="3" t="str">
        <f>B7</f>
        <v>Microbiome</v>
      </c>
      <c r="E7" s="3" t="str">
        <f>"/omics-modalities/" &amp; A7</f>
        <v>/omics-modalities/microbiome</v>
      </c>
      <c r="F7" s="4">
        <f>COUNTIFS(OmicsAssays!D2:D999, A7)</f>
        <v>0</v>
      </c>
      <c r="G7" s="2"/>
    </row>
    <row r="8">
      <c r="A8" s="2" t="s">
        <v>64</v>
      </c>
      <c r="B8" s="2" t="s">
        <v>65</v>
      </c>
      <c r="C8" s="2" t="b">
        <v>0</v>
      </c>
      <c r="D8" s="3" t="str">
        <f>B8</f>
        <v>Methylome (sparse context)</v>
      </c>
      <c r="E8" s="3" t="str">
        <f>"/omics-modalities/" &amp; A8</f>
        <v>/omics-modalities/methylome</v>
      </c>
      <c r="F8" s="4">
        <f>COUNTIFS(OmicsAssays!D2:D999, A8)</f>
        <v>0</v>
      </c>
      <c r="G8" s="2"/>
    </row>
    <row r="9">
      <c r="A9" s="2" t="s">
        <v>66</v>
      </c>
      <c r="B9" s="2" t="s">
        <v>67</v>
      </c>
      <c r="C9" s="2" t="b">
        <v>0</v>
      </c>
      <c r="D9" s="3" t="str">
        <f>B9</f>
        <v>Chromatin Conformation Hi-C (sparse context)</v>
      </c>
      <c r="E9" s="3" t="str">
        <f>"/omics-modalities/" &amp; A9</f>
        <v>/omics-modalities/hi-c</v>
      </c>
      <c r="F9" s="4">
        <f>COUNTIFS(OmicsAssays!D2:D999, A9)</f>
        <v>0</v>
      </c>
      <c r="G9" s="2"/>
    </row>
  </sheetData>
  <autoFilter ref="A1:G1"/>
  <headerFooter/>
  <legacyDrawing r:id="rId1"/>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5"/>
  <sheetViews>
    <sheetView workbookViewId="0">
      <pane ySplit="1" topLeftCell="A2" state="frozen" activePane="bottomLeft"/>
      <selection pane="bottomLeft" activeCell="A1" sqref="A1"/>
    </sheetView>
  </sheetViews>
  <sheetFormatPr defaultRowHeight="15"/>
  <cols>
    <col min="1" max="1" width="20.152238845825195" customWidth="1"/>
    <col min="2" max="2" width="27.3559627532959" customWidth="1"/>
    <col min="3" max="3" width="17.443378448486328" customWidth="1"/>
    <col min="4" max="4" width="20.071821212768555" customWidth="1"/>
    <col min="5" max="5" width="27.3559627532959" customWidth="1"/>
    <col min="6" max="6" width="24.639232635498047" customWidth="1"/>
    <col min="7" max="7" width="19.51109504699707" customWidth="1"/>
    <col min="8" max="8" width="17.443378448486328" customWidth="1"/>
    <col min="9" max="9" width="17.443378448486328" customWidth="1"/>
    <col min="10" max="10" width="19.121692657470703" customWidth="1"/>
  </cols>
  <sheetData>
    <row r="1">
      <c r="A1" s="1" t="s">
        <v>68</v>
      </c>
      <c r="B1" s="1" t="s">
        <v>69</v>
      </c>
      <c r="C1" s="1" t="s">
        <v>70</v>
      </c>
      <c r="D1" s="1" t="s">
        <v>71</v>
      </c>
      <c r="E1" s="1" t="s">
        <v>3</v>
      </c>
      <c r="F1" s="1" t="s">
        <v>4</v>
      </c>
      <c r="G1" s="1" t="s">
        <v>72</v>
      </c>
      <c r="H1" s="1" t="s">
        <v>73</v>
      </c>
      <c r="I1" s="1" t="s">
        <v>38</v>
      </c>
      <c r="J1" s="1" t="s">
        <v>74</v>
      </c>
    </row>
    <row r="2">
      <c r="A2" s="2" t="s">
        <v>75</v>
      </c>
      <c r="B2" s="2" t="s">
        <v>76</v>
      </c>
      <c r="C2" s="2" t="s">
        <v>77</v>
      </c>
      <c r="D2" s="2" t="b">
        <v>1</v>
      </c>
      <c r="E2" s="3" t="str">
        <f>B2</f>
        <v>European Reference Node</v>
      </c>
      <c r="F2" s="3" t="str">
        <f>"/datasets/" &amp; A2</f>
        <v>/datasets/fed-europe</v>
      </c>
      <c r="G2" s="4">
        <f>COUNTIFS(Individuals!G2:G999, A2)</f>
        <v>4</v>
      </c>
      <c r="H2" s="2"/>
      <c r="I2" s="2"/>
      <c r="J2" s="2"/>
    </row>
    <row r="3">
      <c r="A3" s="2" t="s">
        <v>78</v>
      </c>
      <c r="B3" s="2" t="s">
        <v>79</v>
      </c>
      <c r="C3" s="2" t="s">
        <v>80</v>
      </c>
      <c r="D3" s="2" t="b">
        <v>1</v>
      </c>
      <c r="E3" s="3" t="str">
        <f>B3</f>
        <v>East Asia Federated Node</v>
      </c>
      <c r="F3" s="3" t="str">
        <f>"/datasets/" &amp; A3</f>
        <v>/datasets/fed-east-asia</v>
      </c>
      <c r="G3" s="4">
        <f>COUNTIFS(Individuals!G2:G999, A3)</f>
        <v>1</v>
      </c>
      <c r="H3" s="2"/>
      <c r="I3" s="2"/>
      <c r="J3" s="2"/>
    </row>
    <row r="4">
      <c r="A4" s="2" t="s">
        <v>81</v>
      </c>
      <c r="B4" s="2" t="s">
        <v>82</v>
      </c>
      <c r="C4" s="2" t="s">
        <v>83</v>
      </c>
      <c r="D4" s="2" t="b">
        <v>1</v>
      </c>
      <c r="E4" s="3" t="str">
        <f>B4</f>
        <v>West Africa Federated Node</v>
      </c>
      <c r="F4" s="3" t="str">
        <f>"/datasets/" &amp; A4</f>
        <v>/datasets/fed-west-africa</v>
      </c>
      <c r="G4" s="4">
        <f>COUNTIFS(Individuals!G2:G999, A4)</f>
        <v>1</v>
      </c>
      <c r="H4" s="2"/>
      <c r="I4" s="2"/>
      <c r="J4" s="2"/>
    </row>
    <row r="5">
      <c r="A5" s="2" t="s">
        <v>84</v>
      </c>
      <c r="B5" s="2" t="s">
        <v>85</v>
      </c>
      <c r="C5" s="2" t="s">
        <v>86</v>
      </c>
      <c r="D5" s="2" t="b">
        <v>1</v>
      </c>
      <c r="E5" s="3" t="str">
        <f>B5</f>
        <v>Amazon Indigenous Cohort</v>
      </c>
      <c r="F5" s="3" t="str">
        <f>"/datasets/" &amp; A5</f>
        <v>/datasets/fed-amazon</v>
      </c>
      <c r="G5" s="4">
        <f>COUNTIFS(Individuals!G2:G999, A5)</f>
        <v>4</v>
      </c>
      <c r="H5" s="2"/>
      <c r="I5" s="2"/>
      <c r="J5" s="2"/>
    </row>
  </sheetData>
  <autoFilter ref="A1:J1"/>
  <headerFooter/>
  <legacyDrawing r:id="rId1"/>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6"/>
  <sheetViews>
    <sheetView workbookViewId="0">
      <pane ySplit="1" topLeftCell="A2" state="frozen" activePane="bottomLeft"/>
      <selection pane="bottomLeft" activeCell="A1" sqref="A1"/>
    </sheetView>
  </sheetViews>
  <sheetFormatPr defaultRowHeight="15"/>
  <cols>
    <col min="1" max="1" width="17.443378448486328" customWidth="1"/>
    <col min="2" max="2" width="18.888599395751953" customWidth="1"/>
    <col min="3" max="3" width="18.98661994934082" customWidth="1"/>
    <col min="4" max="4" width="18.888599395751953" customWidth="1"/>
    <col min="5" max="5" width="27.356969833374023" customWidth="1"/>
    <col min="6" max="6" width="24.872173309326172" customWidth="1"/>
    <col min="7" max="7" width="17.443378448486328" customWidth="1"/>
  </cols>
  <sheetData>
    <row r="1">
      <c r="A1" s="1" t="s">
        <v>87</v>
      </c>
      <c r="B1" s="1" t="s">
        <v>88</v>
      </c>
      <c r="C1" s="1" t="s">
        <v>89</v>
      </c>
      <c r="D1" s="1" t="s">
        <v>3</v>
      </c>
      <c r="E1" s="1" t="s">
        <v>4</v>
      </c>
      <c r="F1" s="1" t="s">
        <v>90</v>
      </c>
      <c r="G1" s="1" t="s">
        <v>91</v>
      </c>
    </row>
    <row r="2">
      <c r="A2" s="2" t="s">
        <v>92</v>
      </c>
      <c r="B2" s="2" t="s">
        <v>93</v>
      </c>
      <c r="C2" s="2" t="b">
        <v>1</v>
      </c>
      <c r="D2" s="3" t="str">
        <f>B2</f>
        <v>Regulatory Variant</v>
      </c>
      <c r="E2" s="3" t="str">
        <f>"/variant-types/" &amp; A2</f>
        <v>/variant-types/regulatory</v>
      </c>
      <c r="F2" s="4">
        <f>COUNTIFS(GenomicVariants!D2:D999, A2)</f>
        <v>12</v>
      </c>
      <c r="G2" s="2"/>
    </row>
    <row r="3">
      <c r="A3" s="2" t="s">
        <v>94</v>
      </c>
      <c r="B3" s="2" t="s">
        <v>95</v>
      </c>
      <c r="C3" s="2" t="b">
        <v>0</v>
      </c>
      <c r="D3" s="3" t="str">
        <f>B3</f>
        <v>Coding Variant</v>
      </c>
      <c r="E3" s="3" t="str">
        <f>"/variant-types/" &amp; A3</f>
        <v>/variant-types/coding</v>
      </c>
      <c r="F3" s="4">
        <f>COUNTIFS(GenomicVariants!D2:D999, A3)</f>
        <v>0</v>
      </c>
      <c r="G3" s="2"/>
    </row>
    <row r="4">
      <c r="A4" s="2" t="s">
        <v>96</v>
      </c>
      <c r="B4" s="2" t="s">
        <v>97</v>
      </c>
      <c r="C4" s="2" t="b">
        <v>0</v>
      </c>
      <c r="D4" s="3" t="str">
        <f>B4</f>
        <v>HLA Haplotype</v>
      </c>
      <c r="E4" s="3" t="str">
        <f>"/variant-types/" &amp; A4</f>
        <v>/variant-types/hla-haplotype</v>
      </c>
      <c r="F4" s="4">
        <f>COUNTIFS(GenomicVariants!D2:D999, A4)</f>
        <v>0</v>
      </c>
      <c r="G4" s="2"/>
    </row>
    <row r="5">
      <c r="A5" s="2" t="s">
        <v>98</v>
      </c>
      <c r="B5" s="2" t="s">
        <v>99</v>
      </c>
      <c r="C5" s="2" t="b">
        <v>1</v>
      </c>
      <c r="D5" s="3" t="str">
        <f>B5</f>
        <v>Structural Variant</v>
      </c>
      <c r="E5" s="3" t="str">
        <f>"/variant-types/" &amp; A5</f>
        <v>/variant-types/structural</v>
      </c>
      <c r="F5" s="4">
        <f>COUNTIFS(GenomicVariants!D2:D999, A5)</f>
        <v>0</v>
      </c>
      <c r="G5" s="2"/>
    </row>
    <row r="6">
      <c r="A6" s="2" t="s">
        <v>100</v>
      </c>
      <c r="B6" s="2" t="s">
        <v>101</v>
      </c>
      <c r="C6" s="2" t="b">
        <v>1</v>
      </c>
      <c r="D6" s="3" t="str">
        <f>B6</f>
        <v>De Novo Mutation</v>
      </c>
      <c r="E6" s="3" t="str">
        <f>"/variant-types/" &amp; A6</f>
        <v>/variant-types/de-novo</v>
      </c>
      <c r="F6" s="4">
        <f>COUNTIFS(GenomicVariants!D2:D999, A6)</f>
        <v>0</v>
      </c>
      <c r="G6" s="2"/>
    </row>
  </sheetData>
  <autoFilter ref="A1:G1"/>
  <headerFooter/>
  <legacyDrawing r:id="rId1"/>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13"/>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21.200023651123047" customWidth="1"/>
    <col min="5" max="5" width="17.443378448486328" customWidth="1"/>
    <col min="6" max="6" width="29.779083251953125" customWidth="1"/>
    <col min="7" max="7" width="18.099525451660156" customWidth="1"/>
    <col min="8" max="8" width="24.629854202270508" customWidth="1"/>
    <col min="9" max="9" width="26.34012794494629" customWidth="1"/>
    <col min="10" max="10" width="17.443378448486328" customWidth="1"/>
    <col min="11" max="11" width="17.443378448486328" customWidth="1"/>
    <col min="12" max="12" width="35.28116226196289" customWidth="1"/>
    <col min="13" max="13" width="27.651399612426758" customWidth="1"/>
    <col min="14" max="14" width="24.872173309326172" customWidth="1"/>
    <col min="15" max="15" width="26.375574111938477" customWidth="1"/>
    <col min="16" max="16" width="27.912700653076172" customWidth="1"/>
    <col min="17" max="17" width="24.502477645874023" customWidth="1"/>
    <col min="18" max="18" width="24.055269241333008" customWidth="1"/>
    <col min="19" max="19" width="23.250123977661133" customWidth="1"/>
    <col min="20" max="20" width="17.443378448486328" customWidth="1"/>
    <col min="21" max="21" width="28.368305206298828" customWidth="1"/>
    <col min="22" max="22" width="31.220624923706055" customWidth="1"/>
    <col min="23" max="23" width="35.587223052978516" customWidth="1"/>
    <col min="24" max="24" width="18.232669830322266" customWidth="1"/>
    <col min="25" max="25" width="29.50408363342285" customWidth="1"/>
    <col min="26" max="26" width="26.776079177856445" customWidth="1"/>
    <col min="27" max="27" width="35.1825065612793" customWidth="1"/>
    <col min="28" max="28" width="32.07346725463867" customWidth="1"/>
    <col min="29" max="29" width="17.443378448486328" customWidth="1"/>
    <col min="30" max="30" width="17.443378448486328" customWidth="1"/>
    <col min="31" max="31" width="24.748308181762695" customWidth="1"/>
    <col min="32" max="32" width="17.443378448486328" customWidth="1"/>
    <col min="33" max="33" width="18.857349395751953" customWidth="1"/>
    <col min="34" max="34" width="18.890169143676758" customWidth="1"/>
    <col min="35" max="35" width="20.559289932250977" customWidth="1"/>
    <col min="36" max="36" width="26.026485443115234" customWidth="1"/>
    <col min="37" max="37" width="21.070524215698242" customWidth="1"/>
    <col min="38" max="38" width="256" customWidth="1"/>
    <col min="39" max="39" width="21.486242294311523" customWidth="1"/>
    <col min="40" max="40" width="33.16655349731445" customWidth="1"/>
    <col min="41" max="41" width="31.822967529296875" customWidth="1"/>
    <col min="42" max="42" width="18.811832427978516" customWidth="1"/>
    <col min="43" max="43" width="26.539125442504883" customWidth="1"/>
    <col min="44" max="44" width="18.019010543823242" customWidth="1"/>
    <col min="45" max="45" width="28.873071670532227" customWidth="1"/>
    <col min="46" max="46" width="17.443378448486328" customWidth="1"/>
    <col min="47" max="47" width="21.449054718017578" customWidth="1"/>
    <col min="48" max="48" width="21.657663345336914" customWidth="1"/>
    <col min="49" max="49" width="20.495038986206055" customWidth="1"/>
    <col min="50" max="50" width="19.545955657958984" customWidth="1"/>
    <col min="51" max="51" width="55.97280502319336" customWidth="1"/>
    <col min="52" max="52" width="22.667428970336914" customWidth="1"/>
  </cols>
  <sheetData>
    <row r="1">
      <c r="A1" s="1" t="s">
        <v>102</v>
      </c>
      <c r="B1" s="1" t="s">
        <v>103</v>
      </c>
      <c r="C1" s="1" t="s">
        <v>104</v>
      </c>
      <c r="D1" s="1" t="s">
        <v>105</v>
      </c>
      <c r="E1" s="1" t="s">
        <v>106</v>
      </c>
      <c r="F1" s="1" t="s">
        <v>107</v>
      </c>
      <c r="G1" s="1" t="s">
        <v>108</v>
      </c>
      <c r="H1" s="1" t="s">
        <v>109</v>
      </c>
      <c r="I1" s="1" t="s">
        <v>110</v>
      </c>
      <c r="J1" s="1" t="s">
        <v>3</v>
      </c>
      <c r="K1" s="1" t="s">
        <v>111</v>
      </c>
      <c r="L1" s="1" t="s">
        <v>4</v>
      </c>
      <c r="M1" s="1" t="s">
        <v>112</v>
      </c>
      <c r="N1" s="1" t="s">
        <v>90</v>
      </c>
      <c r="O1" s="1" t="s">
        <v>113</v>
      </c>
      <c r="P1" s="1" t="s">
        <v>114</v>
      </c>
      <c r="Q1" s="1" t="s">
        <v>115</v>
      </c>
      <c r="R1" s="1" t="s">
        <v>116</v>
      </c>
      <c r="S1" s="1" t="s">
        <v>117</v>
      </c>
      <c r="T1" s="1" t="s">
        <v>118</v>
      </c>
      <c r="U1" s="1" t="s">
        <v>119</v>
      </c>
      <c r="V1" s="1" t="s">
        <v>120</v>
      </c>
      <c r="W1" s="1" t="s">
        <v>121</v>
      </c>
      <c r="X1" s="1" t="s">
        <v>122</v>
      </c>
      <c r="Y1" s="1" t="s">
        <v>123</v>
      </c>
      <c r="Z1" s="1" t="s">
        <v>124</v>
      </c>
      <c r="AA1" s="1" t="s">
        <v>125</v>
      </c>
      <c r="AB1" s="1" t="s">
        <v>126</v>
      </c>
      <c r="AC1" s="1" t="s">
        <v>91</v>
      </c>
      <c r="AD1" s="1" t="s">
        <v>38</v>
      </c>
      <c r="AE1" s="1" t="s">
        <v>127</v>
      </c>
      <c r="AF1" s="1" t="s">
        <v>8</v>
      </c>
      <c r="AG1" s="1" t="s">
        <v>9</v>
      </c>
      <c r="AH1" s="1" t="s">
        <v>128</v>
      </c>
      <c r="AI1" s="1" t="s">
        <v>129</v>
      </c>
      <c r="AJ1" s="1" t="s">
        <v>11</v>
      </c>
      <c r="AK1" s="1" t="s">
        <v>10</v>
      </c>
      <c r="AL1" s="1" t="s">
        <v>130</v>
      </c>
      <c r="AM1" s="1" t="s">
        <v>131</v>
      </c>
      <c r="AN1" s="1" t="s">
        <v>132</v>
      </c>
      <c r="AO1" s="1" t="s">
        <v>133</v>
      </c>
      <c r="AP1" s="1" t="s">
        <v>134</v>
      </c>
      <c r="AQ1" s="1" t="s">
        <v>135</v>
      </c>
      <c r="AR1" s="1" t="s">
        <v>136</v>
      </c>
      <c r="AS1" s="1" t="s">
        <v>137</v>
      </c>
      <c r="AT1" s="1" t="s">
        <v>138</v>
      </c>
      <c r="AU1" s="1" t="s">
        <v>139</v>
      </c>
      <c r="AV1" s="1" t="s">
        <v>140</v>
      </c>
      <c r="AW1" s="1" t="s">
        <v>141</v>
      </c>
      <c r="AX1" s="1" t="s">
        <v>142</v>
      </c>
      <c r="AY1" s="1" t="s">
        <v>143</v>
      </c>
      <c r="AZ1" s="1" t="s">
        <v>144</v>
      </c>
    </row>
    <row r="2">
      <c r="A2" s="2" t="s">
        <v>145</v>
      </c>
      <c r="B2" s="2" t="s">
        <v>146</v>
      </c>
      <c r="C2" s="2" t="s">
        <v>147</v>
      </c>
      <c r="D2" s="2" t="s">
        <v>148</v>
      </c>
      <c r="E2" s="5">
        <v>34</v>
      </c>
      <c r="F2" s="2" t="b">
        <v>0</v>
      </c>
      <c r="G2" s="2" t="s">
        <v>75</v>
      </c>
      <c r="H2" s="6">
        <v>45026</v>
      </c>
      <c r="I2" s="2" t="b">
        <v>0</v>
      </c>
      <c r="J2" s="3" t="str">
        <f>B2 &amp; " " &amp; C2</f>
        <v>Ana Reyes</v>
      </c>
      <c r="K2" s="3" t="str">
        <f>SUBSTITUTE(LOWER(C2 &amp; "-" &amp; B2), " ", "-")</f>
        <v>reyes-ana</v>
      </c>
      <c r="L2" s="3" t="str">
        <f>"/intake/new-patient/" &amp; K2</f>
        <v>/intake/new-patient/reyes-ana</v>
      </c>
      <c r="M2" s="3" t="str">
        <f>IF(G2 = "", "", INDEX(FederatedDatasets!B2:B999, MATCH(G2,FederatedDatasets!A2:A999, 0)))</f>
        <v>European Reference Node</v>
      </c>
      <c r="N2" s="4">
        <f>COUNTIFS(GenomicVariants!C2:C999, A2)</f>
        <v>1</v>
      </c>
      <c r="O2" s="4">
        <f>COUNTIFS(CausalMechanisms!C2:C999, A2)</f>
        <v>1</v>
      </c>
      <c r="P2" s="4">
        <f>COUNTIFS(EpistaticInteractions!C2:C999, A2)</f>
        <v>1</v>
      </c>
      <c r="Q2" s="3">
        <f>IF(E2 &gt; 0, N2 / E2, 0)</f>
        <v>0.029411764705882353</v>
      </c>
      <c r="R2" s="3">
        <f>O2 * 10 + P2 * 5 + Q2</f>
        <v>15.029411764705882</v>
      </c>
      <c r="S2" s="3" t="b">
        <f>IF(E2 &lt;= 25, TRUE(), FALSE())</f>
        <v>0</v>
      </c>
      <c r="T2" s="3" t="b">
        <f>IF(E2 &gt;= 60, TRUE(), FALSE())</f>
        <v>0</v>
      </c>
      <c r="U2" s="4">
        <f>COUNTIFS(CausalMechanisms!C2:C999, A2,CausalMechanisms!AC2:AC999, TRUE())</f>
        <v>1</v>
      </c>
      <c r="V2" s="3">
        <f>SUMIFS(CausalMechanisms!AA2:AA999,CausalMechanisms!C2:C999, A2,CausalMechanisms!AC2:AC999, TRUE())</f>
        <v>0.7583333333333333</v>
      </c>
      <c r="W2" s="4">
        <f>COUNTIFS(CausalMechanisms!C2:C999, A2,CausalMechanisms!AD2:AD999, TRUE())</f>
        <v>1</v>
      </c>
      <c r="X2" s="3">
        <f>_xlfn.MAXIFS(ClinicalPhenotypes!G2:G999,ClinicalPhenotypes!C2:C999, A2)</f>
        <v>9</v>
      </c>
      <c r="Y2" s="4">
        <f>COUNTIFS(ClinicalPhenotypes!C2:C999, A2,ClinicalPhenotypes!N2:N999, TRUE())</f>
        <v>1</v>
      </c>
      <c r="Z2" s="3" t="b">
        <f>IF(Y2 &gt;= 1, TRUE(), FALSE())</f>
        <v>1</v>
      </c>
      <c r="AA2" s="4">
        <f>COUNTIFS(Treatments!C2:C999, A2,Treatments!P2:P999, TRUE())</f>
        <v>1</v>
      </c>
      <c r="AB2" s="3" t="b">
        <f>IF(AA2 &gt;= 1, TRUE(), FALSE())</f>
        <v>1</v>
      </c>
      <c r="AC2" s="2"/>
      <c r="AD2" s="2"/>
      <c r="AE2" s="2"/>
      <c r="AF2" s="2"/>
      <c r="AG2" s="2"/>
      <c r="AH2" s="2"/>
      <c r="AI2" s="2"/>
      <c r="AJ2" s="2"/>
      <c r="AK2" s="2"/>
      <c r="AL2" s="2" t="s">
        <v>149</v>
      </c>
      <c r="AM2" s="3">
        <f>COUNTIFS(SerologyObservations!B2:B999, A2)</f>
        <v>2</v>
      </c>
      <c r="AN2" s="3">
        <f>COUNTIFS(SerologyObservations!B2:B999, A2,SerologyObservations!Q2:Q999, TRUE())</f>
        <v>0</v>
      </c>
      <c r="AO2" s="3" t="b">
        <f>IF(AN2&gt;=1,TRUE(),FALSE())</f>
        <v>0</v>
      </c>
      <c r="AP2" s="3">
        <f>IF(AN2&gt;=2,2,IF(AN2&gt;=1,1,0))</f>
        <v>0</v>
      </c>
      <c r="AQ2" s="3">
        <f>_xlfn.MAXIFS(SerologyObservations!X2:X999,SerologyObservations!B2:B999, A2)</f>
        <v>0</v>
      </c>
      <c r="AR2" s="3">
        <f>_xlfn.MAXIFS(SerologyObservations!V2:V999,SerologyObservations!B2:B999, A2)</f>
        <v>0</v>
      </c>
      <c r="AS2" s="3" t="str">
        <f>IF(AQ2&gt;=5,"BiopsyIndicated",IF(AQ2&gt;=4,"RenalFlareRisk",IF(AQ2&gt;=3,"EarlyNephritis",IF(AQ2&gt;=2,"SerologicActive","PresymptomaticAutoimmunity"))))</f>
        <v>PresymptomaticAutoimmunity</v>
      </c>
      <c r="AT2" s="3" t="str">
        <f>IF(AR2&gt;=12,"High / flare",IF(AR2&gt;=6,"Moderate",IF(AR2&gt;=1,"Mild","Quiescent")))</f>
        <v>Quiescent</v>
      </c>
      <c r="AU2" s="3" t="b">
        <f>IF(AR2&gt;=12,TRUE(),FALSE())</f>
        <v>0</v>
      </c>
      <c r="AV2" s="3" t="b">
        <f>IF(OR(AS2="EarlyNephritis",AS2="RenalFlareRisk",AS2="BiopsyIndicated"),TRUE(),FALSE())</f>
        <v>0</v>
      </c>
      <c r="AW2" s="3">
        <f>_xlfn.MAXIFS(CausalMechanisms!H2:H999,CausalMechanisms!C2:C999, A2)</f>
        <v>1</v>
      </c>
      <c r="AX2" s="3" t="str">
        <f>IF(AW2=1,"type-I-IFN",IF(AW2=2,"B-cell/autoantibody",IF(AW2=3,"T-cell-costim",IF(AW2=4,"IL-17/23",""))))</f>
        <v>type-I-IFN</v>
      </c>
      <c r="AY2" s="3" t="str">
        <f>"lupus-nephritis-progression--" &amp; LOWER(AS2)</f>
        <v>lupus-nephritis-progression--presymptomaticautoimmunity</v>
      </c>
      <c r="AZ2" s="4" t="e">
        <f>INDEX(MachineStates!Q2:Q999, MATCH(AY2,MachineStates!A2:A999, 0))</f>
        <v>#VALUE!</v>
      </c>
    </row>
    <row r="3">
      <c r="A3" s="2" t="s">
        <v>150</v>
      </c>
      <c r="B3" s="2" t="s">
        <v>151</v>
      </c>
      <c r="C3" s="2" t="s">
        <v>152</v>
      </c>
      <c r="D3" s="2" t="s">
        <v>148</v>
      </c>
      <c r="E3" s="5">
        <v>41</v>
      </c>
      <c r="F3" s="2" t="b">
        <v>0</v>
      </c>
      <c r="G3" s="2" t="s">
        <v>75</v>
      </c>
      <c r="H3" s="6">
        <v>45058</v>
      </c>
      <c r="I3" s="2" t="b">
        <v>0</v>
      </c>
      <c r="J3" s="3" t="str">
        <f>B3 &amp; " " &amp; C3</f>
        <v>Bili Okafor</v>
      </c>
      <c r="K3" s="3" t="str">
        <f>SUBSTITUTE(LOWER(C3 &amp; "-" &amp; B3), " ", "-")</f>
        <v>okafor-bili</v>
      </c>
      <c r="L3" s="3" t="str">
        <f>"/intake/new-patient/" &amp; K3</f>
        <v>/intake/new-patient/okafor-bili</v>
      </c>
      <c r="M3" s="3" t="str">
        <f>IF(G3 = "", "", INDEX(FederatedDatasets!B2:B999, MATCH(G3,FederatedDatasets!A2:A999, 0)))</f>
        <v>European Reference Node</v>
      </c>
      <c r="N3" s="4">
        <f>COUNTIFS(GenomicVariants!C2:C999, A3)</f>
        <v>1</v>
      </c>
      <c r="O3" s="4">
        <f>COUNTIFS(CausalMechanisms!C2:C999, A3)</f>
        <v>1</v>
      </c>
      <c r="P3" s="4">
        <f>COUNTIFS(EpistaticInteractions!C2:C999, A3)</f>
        <v>0</v>
      </c>
      <c r="Q3" s="3">
        <f>IF(E3 &gt; 0, N3 / E3, 0)</f>
        <v>0.024390243902439025</v>
      </c>
      <c r="R3" s="3">
        <f>O3 * 10 + P3 * 5 + Q3</f>
        <v>10.024390243902438</v>
      </c>
      <c r="S3" s="3" t="b">
        <f>IF(E3 &lt;= 25, TRUE(), FALSE())</f>
        <v>0</v>
      </c>
      <c r="T3" s="3" t="b">
        <f>IF(E3 &gt;= 60, TRUE(), FALSE())</f>
        <v>0</v>
      </c>
      <c r="U3" s="4">
        <f>COUNTIFS(CausalMechanisms!C2:C999, A3,CausalMechanisms!AC2:AC999, TRUE())</f>
        <v>1</v>
      </c>
      <c r="V3" s="3">
        <f>SUMIFS(CausalMechanisms!AA2:AA999,CausalMechanisms!C2:C999, A3,CausalMechanisms!AC2:AC999, TRUE())</f>
        <v>0.7583333333333333</v>
      </c>
      <c r="W3" s="4">
        <f>COUNTIFS(CausalMechanisms!C2:C999, A3,CausalMechanisms!AD2:AD999, TRUE())</f>
        <v>1</v>
      </c>
      <c r="X3" s="3">
        <f>_xlfn.MAXIFS(ClinicalPhenotypes!G2:G999,ClinicalPhenotypes!C2:C999, A3)</f>
        <v>8</v>
      </c>
      <c r="Y3" s="4">
        <f>COUNTIFS(ClinicalPhenotypes!C2:C999, A3,ClinicalPhenotypes!N2:N999, TRUE())</f>
        <v>1</v>
      </c>
      <c r="Z3" s="3" t="b">
        <f>IF(Y3 &gt;= 1, TRUE(), FALSE())</f>
        <v>1</v>
      </c>
      <c r="AA3" s="4">
        <f>COUNTIFS(Treatments!C2:C999, A3,Treatments!P2:P999, TRUE())</f>
        <v>1</v>
      </c>
      <c r="AB3" s="3" t="b">
        <f>IF(AA3 &gt;= 1, TRUE(), FALSE())</f>
        <v>1</v>
      </c>
      <c r="AC3" s="2"/>
      <c r="AD3" s="2"/>
      <c r="AE3" s="2"/>
      <c r="AF3" s="2"/>
      <c r="AG3" s="2"/>
      <c r="AH3" s="2"/>
      <c r="AI3" s="2"/>
      <c r="AJ3" s="2"/>
      <c r="AK3" s="2"/>
      <c r="AL3" s="2" t="s">
        <v>153</v>
      </c>
      <c r="AM3" s="3">
        <f>COUNTIFS(SerologyObservations!B2:B999, A3)</f>
        <v>2</v>
      </c>
      <c r="AN3" s="3">
        <f>COUNTIFS(SerologyObservations!B2:B999, A3,SerologyObservations!Q2:Q999, TRUE())</f>
        <v>0</v>
      </c>
      <c r="AO3" s="3" t="b">
        <f>IF(AN3&gt;=1,TRUE(),FALSE())</f>
        <v>0</v>
      </c>
      <c r="AP3" s="3">
        <f>IF(AN3&gt;=2,2,IF(AN3&gt;=1,1,0))</f>
        <v>0</v>
      </c>
      <c r="AQ3" s="3">
        <f>_xlfn.MAXIFS(SerologyObservations!X2:X999,SerologyObservations!B2:B999, A3)</f>
        <v>0</v>
      </c>
      <c r="AR3" s="3">
        <f>_xlfn.MAXIFS(SerologyObservations!V2:V999,SerologyObservations!B2:B999, A3)</f>
        <v>0</v>
      </c>
      <c r="AS3" s="3" t="str">
        <f>IF(AQ3&gt;=5,"BiopsyIndicated",IF(AQ3&gt;=4,"RenalFlareRisk",IF(AQ3&gt;=3,"EarlyNephritis",IF(AQ3&gt;=2,"SerologicActive","PresymptomaticAutoimmunity"))))</f>
        <v>PresymptomaticAutoimmunity</v>
      </c>
      <c r="AT3" s="3" t="str">
        <f>IF(AR3&gt;=12,"High / flare",IF(AR3&gt;=6,"Moderate",IF(AR3&gt;=1,"Mild","Quiescent")))</f>
        <v>Quiescent</v>
      </c>
      <c r="AU3" s="3" t="b">
        <f>IF(AR3&gt;=12,TRUE(),FALSE())</f>
        <v>0</v>
      </c>
      <c r="AV3" s="3" t="b">
        <f>IF(OR(AS3="EarlyNephritis",AS3="RenalFlareRisk",AS3="BiopsyIndicated"),TRUE(),FALSE())</f>
        <v>0</v>
      </c>
      <c r="AW3" s="3">
        <f>_xlfn.MAXIFS(CausalMechanisms!H2:H999,CausalMechanisms!C2:C999, A3)</f>
        <v>1</v>
      </c>
      <c r="AX3" s="3" t="str">
        <f>IF(AW3=1,"type-I-IFN",IF(AW3=2,"B-cell/autoantibody",IF(AW3=3,"T-cell-costim",IF(AW3=4,"IL-17/23",""))))</f>
        <v>type-I-IFN</v>
      </c>
      <c r="AY3" s="3" t="str">
        <f>"lupus-nephritis-progression--" &amp; LOWER(AS3)</f>
        <v>lupus-nephritis-progression--presymptomaticautoimmunity</v>
      </c>
      <c r="AZ3" s="4" t="e">
        <f>INDEX(MachineStates!Q2:Q999, MATCH(AY3,MachineStates!A2:A999, 0))</f>
        <v>#VALUE!</v>
      </c>
    </row>
    <row r="4">
      <c r="A4" s="2" t="s">
        <v>154</v>
      </c>
      <c r="B4" s="2" t="s">
        <v>155</v>
      </c>
      <c r="C4" s="2" t="s">
        <v>156</v>
      </c>
      <c r="D4" s="2" t="s">
        <v>157</v>
      </c>
      <c r="E4" s="5">
        <v>47</v>
      </c>
      <c r="F4" s="2" t="b">
        <v>0</v>
      </c>
      <c r="G4" s="2" t="s">
        <v>78</v>
      </c>
      <c r="H4" s="6">
        <v>44805</v>
      </c>
      <c r="I4" s="2" t="b">
        <v>0</v>
      </c>
      <c r="J4" s="3" t="str">
        <f>B4 &amp; " " &amp; C4</f>
        <v>Chen Wei</v>
      </c>
      <c r="K4" s="3" t="str">
        <f>SUBSTITUTE(LOWER(C4 &amp; "-" &amp; B4), " ", "-")</f>
        <v>wei-chen</v>
      </c>
      <c r="L4" s="3" t="str">
        <f>"/intake/new-patient/" &amp; K4</f>
        <v>/intake/new-patient/wei-chen</v>
      </c>
      <c r="M4" s="3" t="str">
        <f>IF(G4 = "", "", INDEX(FederatedDatasets!B2:B999, MATCH(G4,FederatedDatasets!A2:A999, 0)))</f>
        <v>East Asia Federated Node</v>
      </c>
      <c r="N4" s="4">
        <f>COUNTIFS(GenomicVariants!C2:C999, A4)</f>
        <v>1</v>
      </c>
      <c r="O4" s="4">
        <f>COUNTIFS(CausalMechanisms!C2:C999, A4)</f>
        <v>1</v>
      </c>
      <c r="P4" s="4">
        <f>COUNTIFS(EpistaticInteractions!C2:C999, A4)</f>
        <v>0</v>
      </c>
      <c r="Q4" s="3">
        <f>IF(E4 &gt; 0, N4 / E4, 0)</f>
        <v>0.02127659574468085</v>
      </c>
      <c r="R4" s="3">
        <f>O4 * 10 + P4 * 5 + Q4</f>
        <v>10.02127659574468</v>
      </c>
      <c r="S4" s="3" t="b">
        <f>IF(E4 &lt;= 25, TRUE(), FALSE())</f>
        <v>0</v>
      </c>
      <c r="T4" s="3" t="b">
        <f>IF(E4 &gt;= 60, TRUE(), FALSE())</f>
        <v>0</v>
      </c>
      <c r="U4" s="4">
        <f>COUNTIFS(CausalMechanisms!C2:C999, A4,CausalMechanisms!AC2:AC999, TRUE())</f>
        <v>0</v>
      </c>
      <c r="V4" s="3">
        <f>SUMIFS(CausalMechanisms!AA2:AA999,CausalMechanisms!C2:C999, A4,CausalMechanisms!AC2:AC999, TRUE())</f>
        <v>0</v>
      </c>
      <c r="W4" s="4">
        <f>COUNTIFS(CausalMechanisms!C2:C999, A4,CausalMechanisms!AD2:AD999, TRUE())</f>
        <v>0</v>
      </c>
      <c r="X4" s="3">
        <f>_xlfn.MAXIFS(ClinicalPhenotypes!G2:G999,ClinicalPhenotypes!C2:C999, A4)</f>
        <v>9</v>
      </c>
      <c r="Y4" s="4">
        <f>COUNTIFS(ClinicalPhenotypes!C2:C999, A4,ClinicalPhenotypes!N2:N999, TRUE())</f>
        <v>1</v>
      </c>
      <c r="Z4" s="3" t="b">
        <f>IF(Y4 &gt;= 1, TRUE(), FALSE())</f>
        <v>1</v>
      </c>
      <c r="AA4" s="4">
        <f>COUNTIFS(Treatments!C2:C999, A4,Treatments!P2:P999, TRUE())</f>
        <v>0</v>
      </c>
      <c r="AB4" s="3" t="b">
        <f>IF(AA4 &gt;= 1, TRUE(), FALSE())</f>
        <v>0</v>
      </c>
      <c r="AC4" s="2"/>
      <c r="AD4" s="2"/>
      <c r="AE4" s="2"/>
      <c r="AF4" s="2"/>
      <c r="AG4" s="2"/>
      <c r="AH4" s="2"/>
      <c r="AI4" s="2"/>
      <c r="AJ4" s="2"/>
      <c r="AK4" s="2"/>
      <c r="AL4" s="2" t="s">
        <v>158</v>
      </c>
      <c r="AM4" s="3">
        <f>COUNTIFS(SerologyObservations!B2:B999, A4)</f>
        <v>2</v>
      </c>
      <c r="AN4" s="3">
        <f>COUNTIFS(SerologyObservations!B2:B999, A4,SerologyObservations!Q2:Q999, TRUE())</f>
        <v>0</v>
      </c>
      <c r="AO4" s="3" t="b">
        <f>IF(AN4&gt;=1,TRUE(),FALSE())</f>
        <v>0</v>
      </c>
      <c r="AP4" s="3">
        <f>IF(AN4&gt;=2,2,IF(AN4&gt;=1,1,0))</f>
        <v>0</v>
      </c>
      <c r="AQ4" s="3">
        <f>_xlfn.MAXIFS(SerologyObservations!X2:X999,SerologyObservations!B2:B999, A4)</f>
        <v>0</v>
      </c>
      <c r="AR4" s="3">
        <f>_xlfn.MAXIFS(SerologyObservations!V2:V999,SerologyObservations!B2:B999, A4)</f>
        <v>0</v>
      </c>
      <c r="AS4" s="3" t="str">
        <f>IF(AQ4&gt;=5,"BiopsyIndicated",IF(AQ4&gt;=4,"RenalFlareRisk",IF(AQ4&gt;=3,"EarlyNephritis",IF(AQ4&gt;=2,"SerologicActive","PresymptomaticAutoimmunity"))))</f>
        <v>PresymptomaticAutoimmunity</v>
      </c>
      <c r="AT4" s="3" t="str">
        <f>IF(AR4&gt;=12,"High / flare",IF(AR4&gt;=6,"Moderate",IF(AR4&gt;=1,"Mild","Quiescent")))</f>
        <v>Quiescent</v>
      </c>
      <c r="AU4" s="3" t="b">
        <f>IF(AR4&gt;=12,TRUE(),FALSE())</f>
        <v>0</v>
      </c>
      <c r="AV4" s="3" t="b">
        <f>IF(OR(AS4="EarlyNephritis",AS4="RenalFlareRisk",AS4="BiopsyIndicated"),TRUE(),FALSE())</f>
        <v>0</v>
      </c>
      <c r="AW4" s="3">
        <f>_xlfn.MAXIFS(CausalMechanisms!H2:H999,CausalMechanisms!C2:C999, A4)</f>
        <v>2</v>
      </c>
      <c r="AX4" s="3" t="str">
        <f>IF(AW4=1,"type-I-IFN",IF(AW4=2,"B-cell/autoantibody",IF(AW4=3,"T-cell-costim",IF(AW4=4,"IL-17/23",""))))</f>
        <v>B-cell/autoantibody</v>
      </c>
      <c r="AY4" s="3" t="str">
        <f>"lupus-nephritis-progression--" &amp; LOWER(AS4)</f>
        <v>lupus-nephritis-progression--presymptomaticautoimmunity</v>
      </c>
      <c r="AZ4" s="4" t="e">
        <f>INDEX(MachineStates!Q2:Q999, MATCH(AY4,MachineStates!A2:A999, 0))</f>
        <v>#VALUE!</v>
      </c>
    </row>
    <row r="5">
      <c r="A5" s="2" t="s">
        <v>159</v>
      </c>
      <c r="B5" s="2" t="s">
        <v>160</v>
      </c>
      <c r="C5" s="2" t="s">
        <v>161</v>
      </c>
      <c r="D5" s="2" t="s">
        <v>148</v>
      </c>
      <c r="E5" s="5">
        <v>29</v>
      </c>
      <c r="F5" s="2" t="b">
        <v>0</v>
      </c>
      <c r="G5" s="2" t="s">
        <v>75</v>
      </c>
      <c r="H5" s="6">
        <v>45311</v>
      </c>
      <c r="I5" s="2" t="b">
        <v>1</v>
      </c>
      <c r="J5" s="3" t="str">
        <f>B5 &amp; " " &amp; C5</f>
        <v>Diego Santos</v>
      </c>
      <c r="K5" s="3" t="str">
        <f>SUBSTITUTE(LOWER(C5 &amp; "-" &amp; B5), " ", "-")</f>
        <v>santos-diego</v>
      </c>
      <c r="L5" s="3" t="str">
        <f>"/intake/new-patient/" &amp; K5</f>
        <v>/intake/new-patient/santos-diego</v>
      </c>
      <c r="M5" s="3" t="str">
        <f>IF(G5 = "", "", INDEX(FederatedDatasets!B2:B999, MATCH(G5,FederatedDatasets!A2:A999, 0)))</f>
        <v>European Reference Node</v>
      </c>
      <c r="N5" s="4">
        <f>COUNTIFS(GenomicVariants!C2:C999, A5)</f>
        <v>1</v>
      </c>
      <c r="O5" s="4">
        <f>COUNTIFS(CausalMechanisms!C2:C999, A5)</f>
        <v>1</v>
      </c>
      <c r="P5" s="4">
        <f>COUNTIFS(EpistaticInteractions!C2:C999, A5)</f>
        <v>0</v>
      </c>
      <c r="Q5" s="3">
        <f>IF(E5 &gt; 0, N5 / E5, 0)</f>
        <v>0.034482758620689655</v>
      </c>
      <c r="R5" s="3">
        <f>O5 * 10 + P5 * 5 + Q5</f>
        <v>10.03448275862069</v>
      </c>
      <c r="S5" s="3" t="b">
        <f>IF(E5 &lt;= 25, TRUE(), FALSE())</f>
        <v>0</v>
      </c>
      <c r="T5" s="3" t="b">
        <f>IF(E5 &gt;= 60, TRUE(), FALSE())</f>
        <v>0</v>
      </c>
      <c r="U5" s="4">
        <f>COUNTIFS(CausalMechanisms!C2:C999, A5,CausalMechanisms!AC2:AC999, TRUE())</f>
        <v>1</v>
      </c>
      <c r="V5" s="3">
        <f>SUMIFS(CausalMechanisms!AA2:AA999,CausalMechanisms!C2:C999, A5,CausalMechanisms!AC2:AC999, TRUE())</f>
        <v>0.7583333333333333</v>
      </c>
      <c r="W5" s="4">
        <f>COUNTIFS(CausalMechanisms!C2:C999, A5,CausalMechanisms!AD2:AD999, TRUE())</f>
        <v>1</v>
      </c>
      <c r="X5" s="3">
        <f>_xlfn.MAXIFS(ClinicalPhenotypes!G2:G999,ClinicalPhenotypes!C2:C999, A5)</f>
        <v>8</v>
      </c>
      <c r="Y5" s="4">
        <f>COUNTIFS(ClinicalPhenotypes!C2:C999, A5,ClinicalPhenotypes!N2:N999, TRUE())</f>
        <v>1</v>
      </c>
      <c r="Z5" s="3" t="b">
        <f>IF(Y5 &gt;= 1, TRUE(), FALSE())</f>
        <v>1</v>
      </c>
      <c r="AA5" s="4">
        <f>COUNTIFS(Treatments!C2:C999, A5,Treatments!P2:P999, TRUE())</f>
        <v>0</v>
      </c>
      <c r="AB5" s="3" t="b">
        <f>IF(AA5 &gt;= 1, TRUE(), FALSE())</f>
        <v>0</v>
      </c>
      <c r="AC5" s="2"/>
      <c r="AD5" s="2"/>
      <c r="AE5" s="2"/>
      <c r="AF5" s="2"/>
      <c r="AG5" s="2"/>
      <c r="AH5" s="2"/>
      <c r="AI5" s="2"/>
      <c r="AJ5" s="2"/>
      <c r="AK5" s="2"/>
      <c r="AL5" s="2" t="s">
        <v>162</v>
      </c>
      <c r="AM5" s="3">
        <f>COUNTIFS(SerologyObservations!B2:B999, A5)</f>
        <v>3</v>
      </c>
      <c r="AN5" s="3">
        <f>COUNTIFS(SerologyObservations!B2:B999, A5,SerologyObservations!Q2:Q999, TRUE())</f>
        <v>0</v>
      </c>
      <c r="AO5" s="3" t="b">
        <f>IF(AN5&gt;=1,TRUE(),FALSE())</f>
        <v>0</v>
      </c>
      <c r="AP5" s="3">
        <f>IF(AN5&gt;=2,2,IF(AN5&gt;=1,1,0))</f>
        <v>0</v>
      </c>
      <c r="AQ5" s="3">
        <f>_xlfn.MAXIFS(SerologyObservations!X2:X999,SerologyObservations!B2:B999, A5)</f>
        <v>5</v>
      </c>
      <c r="AR5" s="3">
        <f>_xlfn.MAXIFS(SerologyObservations!V2:V999,SerologyObservations!B2:B999, A5)</f>
        <v>0</v>
      </c>
      <c r="AS5" s="3" t="str">
        <f>IF(AQ5&gt;=5,"BiopsyIndicated",IF(AQ5&gt;=4,"RenalFlareRisk",IF(AQ5&gt;=3,"EarlyNephritis",IF(AQ5&gt;=2,"SerologicActive","PresymptomaticAutoimmunity"))))</f>
        <v>BiopsyIndicated</v>
      </c>
      <c r="AT5" s="3" t="str">
        <f>IF(AR5&gt;=12,"High / flare",IF(AR5&gt;=6,"Moderate",IF(AR5&gt;=1,"Mild","Quiescent")))</f>
        <v>Quiescent</v>
      </c>
      <c r="AU5" s="3" t="b">
        <f>IF(AR5&gt;=12,TRUE(),FALSE())</f>
        <v>0</v>
      </c>
      <c r="AV5" s="3" t="b">
        <f>IF(OR(AS5="EarlyNephritis",AS5="RenalFlareRisk",AS5="BiopsyIndicated"),TRUE(),FALSE())</f>
        <v>1</v>
      </c>
      <c r="AW5" s="3">
        <f>_xlfn.MAXIFS(CausalMechanisms!H2:H999,CausalMechanisms!C2:C999, A5)</f>
        <v>2</v>
      </c>
      <c r="AX5" s="3" t="str">
        <f>IF(AW5=1,"type-I-IFN",IF(AW5=2,"B-cell/autoantibody",IF(AW5=3,"T-cell-costim",IF(AW5=4,"IL-17/23",""))))</f>
        <v>B-cell/autoantibody</v>
      </c>
      <c r="AY5" s="3" t="str">
        <f>"lupus-nephritis-progression--" &amp; LOWER(AS5)</f>
        <v>lupus-nephritis-progression--biopsyindicated</v>
      </c>
      <c r="AZ5" s="4" t="e">
        <f>INDEX(MachineStates!Q2:Q999, MATCH(AY5,MachineStates!A2:A999, 0))</f>
        <v>#VALUE!</v>
      </c>
    </row>
    <row r="6">
      <c r="A6" s="2" t="s">
        <v>163</v>
      </c>
      <c r="B6" s="2" t="s">
        <v>164</v>
      </c>
      <c r="C6" s="2" t="s">
        <v>165</v>
      </c>
      <c r="D6" s="2" t="s">
        <v>166</v>
      </c>
      <c r="E6" s="5">
        <v>38</v>
      </c>
      <c r="F6" s="2" t="b">
        <v>0</v>
      </c>
      <c r="G6" s="2" t="s">
        <v>81</v>
      </c>
      <c r="H6" s="6">
        <v>45122</v>
      </c>
      <c r="I6" s="2" t="b">
        <v>0</v>
      </c>
      <c r="J6" s="3" t="str">
        <f>B6 &amp; " " &amp; C6</f>
        <v>Esi Mensah</v>
      </c>
      <c r="K6" s="3" t="str">
        <f>SUBSTITUTE(LOWER(C6 &amp; "-" &amp; B6), " ", "-")</f>
        <v>mensah-esi</v>
      </c>
      <c r="L6" s="3" t="str">
        <f>"/intake/new-patient/" &amp; K6</f>
        <v>/intake/new-patient/mensah-esi</v>
      </c>
      <c r="M6" s="3" t="str">
        <f>IF(G6 = "", "", INDEX(FederatedDatasets!B2:B999, MATCH(G6,FederatedDatasets!A2:A999, 0)))</f>
        <v>West Africa Federated Node</v>
      </c>
      <c r="N6" s="4">
        <f>COUNTIFS(GenomicVariants!C2:C999, A6)</f>
        <v>1</v>
      </c>
      <c r="O6" s="4">
        <f>COUNTIFS(CausalMechanisms!C2:C999, A6)</f>
        <v>1</v>
      </c>
      <c r="P6" s="4">
        <f>COUNTIFS(EpistaticInteractions!C2:C999, A6)</f>
        <v>0</v>
      </c>
      <c r="Q6" s="3">
        <f>IF(E6 &gt; 0, N6 / E6, 0)</f>
        <v>0.02631578947368421</v>
      </c>
      <c r="R6" s="3">
        <f>O6 * 10 + P6 * 5 + Q6</f>
        <v>10.026315789473685</v>
      </c>
      <c r="S6" s="3" t="b">
        <f>IF(E6 &lt;= 25, TRUE(), FALSE())</f>
        <v>0</v>
      </c>
      <c r="T6" s="3" t="b">
        <f>IF(E6 &gt;= 60, TRUE(), FALSE())</f>
        <v>0</v>
      </c>
      <c r="U6" s="4">
        <f>COUNTIFS(CausalMechanisms!C2:C999, A6,CausalMechanisms!AC2:AC999, TRUE())</f>
        <v>0</v>
      </c>
      <c r="V6" s="3">
        <f>SUMIFS(CausalMechanisms!AA2:AA999,CausalMechanisms!C2:C999, A6,CausalMechanisms!AC2:AC999, TRUE())</f>
        <v>0</v>
      </c>
      <c r="W6" s="4">
        <f>COUNTIFS(CausalMechanisms!C2:C999, A6,CausalMechanisms!AD2:AD999, TRUE())</f>
        <v>0</v>
      </c>
      <c r="X6" s="3">
        <f>_xlfn.MAXIFS(ClinicalPhenotypes!G2:G999,ClinicalPhenotypes!C2:C999, A6)</f>
        <v>3</v>
      </c>
      <c r="Y6" s="4">
        <f>COUNTIFS(ClinicalPhenotypes!C2:C999, A6,ClinicalPhenotypes!N2:N999, TRUE())</f>
        <v>0</v>
      </c>
      <c r="Z6" s="3" t="b">
        <f>IF(Y6 &gt;= 1, TRUE(), FALSE())</f>
        <v>0</v>
      </c>
      <c r="AA6" s="4">
        <f>COUNTIFS(Treatments!C2:C999, A6,Treatments!P2:P999, TRUE())</f>
        <v>0</v>
      </c>
      <c r="AB6" s="3" t="b">
        <f>IF(AA6 &gt;= 1, TRUE(), FALSE())</f>
        <v>0</v>
      </c>
      <c r="AC6" s="2"/>
      <c r="AD6" s="2"/>
      <c r="AE6" s="2"/>
      <c r="AF6" s="2"/>
      <c r="AG6" s="2"/>
      <c r="AH6" s="2"/>
      <c r="AI6" s="2"/>
      <c r="AJ6" s="2"/>
      <c r="AK6" s="2"/>
      <c r="AL6" s="2" t="s">
        <v>167</v>
      </c>
      <c r="AM6" s="3">
        <f>COUNTIFS(SerologyObservations!B2:B999, A6)</f>
        <v>2</v>
      </c>
      <c r="AN6" s="3">
        <f>COUNTIFS(SerologyObservations!B2:B999, A6,SerologyObservations!Q2:Q999, TRUE())</f>
        <v>0</v>
      </c>
      <c r="AO6" s="3" t="b">
        <f>IF(AN6&gt;=1,TRUE(),FALSE())</f>
        <v>0</v>
      </c>
      <c r="AP6" s="3">
        <f>IF(AN6&gt;=2,2,IF(AN6&gt;=1,1,0))</f>
        <v>0</v>
      </c>
      <c r="AQ6" s="3">
        <f>_xlfn.MAXIFS(SerologyObservations!X2:X999,SerologyObservations!B2:B999, A6)</f>
        <v>0</v>
      </c>
      <c r="AR6" s="3">
        <f>_xlfn.MAXIFS(SerologyObservations!V2:V999,SerologyObservations!B2:B999, A6)</f>
        <v>0</v>
      </c>
      <c r="AS6" s="3" t="str">
        <f>IF(AQ6&gt;=5,"BiopsyIndicated",IF(AQ6&gt;=4,"RenalFlareRisk",IF(AQ6&gt;=3,"EarlyNephritis",IF(AQ6&gt;=2,"SerologicActive","PresymptomaticAutoimmunity"))))</f>
        <v>PresymptomaticAutoimmunity</v>
      </c>
      <c r="AT6" s="3" t="str">
        <f>IF(AR6&gt;=12,"High / flare",IF(AR6&gt;=6,"Moderate",IF(AR6&gt;=1,"Mild","Quiescent")))</f>
        <v>Quiescent</v>
      </c>
      <c r="AU6" s="3" t="b">
        <f>IF(AR6&gt;=12,TRUE(),FALSE())</f>
        <v>0</v>
      </c>
      <c r="AV6" s="3" t="b">
        <f>IF(OR(AS6="EarlyNephritis",AS6="RenalFlareRisk",AS6="BiopsyIndicated"),TRUE(),FALSE())</f>
        <v>0</v>
      </c>
      <c r="AW6" s="3">
        <f>_xlfn.MAXIFS(CausalMechanisms!H2:H999,CausalMechanisms!C2:C999, A6)</f>
        <v>3</v>
      </c>
      <c r="AX6" s="3" t="str">
        <f>IF(AW6=1,"type-I-IFN",IF(AW6=2,"B-cell/autoantibody",IF(AW6=3,"T-cell-costim",IF(AW6=4,"IL-17/23",""))))</f>
        <v>T-cell-costim</v>
      </c>
      <c r="AY6" s="3" t="str">
        <f>"lupus-nephritis-progression--" &amp; LOWER(AS6)</f>
        <v>lupus-nephritis-progression--presymptomaticautoimmunity</v>
      </c>
      <c r="AZ6" s="4" t="e">
        <f>INDEX(MachineStates!Q2:Q999, MATCH(AY6,MachineStates!A2:A999, 0))</f>
        <v>#VALUE!</v>
      </c>
    </row>
    <row r="7">
      <c r="A7" s="2" t="s">
        <v>168</v>
      </c>
      <c r="B7" s="2" t="s">
        <v>169</v>
      </c>
      <c r="C7" s="2" t="s">
        <v>170</v>
      </c>
      <c r="D7" s="2" t="s">
        <v>171</v>
      </c>
      <c r="E7" s="5">
        <v>31</v>
      </c>
      <c r="F7" s="2" t="b">
        <v>1</v>
      </c>
      <c r="G7" s="2" t="s">
        <v>84</v>
      </c>
      <c r="H7" s="6">
        <v>45689</v>
      </c>
      <c r="I7" s="2" t="b">
        <v>0</v>
      </c>
      <c r="J7" s="3" t="str">
        <f>B7 &amp; " " &amp; C7</f>
        <v>Faisal Haidar</v>
      </c>
      <c r="K7" s="3" t="str">
        <f>SUBSTITUTE(LOWER(C7 &amp; "-" &amp; B7), " ", "-")</f>
        <v>haidar-faisal</v>
      </c>
      <c r="L7" s="3" t="str">
        <f>"/intake/new-patient/" &amp; K7</f>
        <v>/intake/new-patient/haidar-faisal</v>
      </c>
      <c r="M7" s="3" t="str">
        <f>IF(G7 = "", "", INDEX(FederatedDatasets!B2:B999, MATCH(G7,FederatedDatasets!A2:A999, 0)))</f>
        <v>Amazon Indigenous Cohort</v>
      </c>
      <c r="N7" s="4">
        <f>COUNTIFS(GenomicVariants!C2:C999, A7)</f>
        <v>1</v>
      </c>
      <c r="O7" s="4">
        <f>COUNTIFS(CausalMechanisms!C2:C999, A7)</f>
        <v>1</v>
      </c>
      <c r="P7" s="4">
        <f>COUNTIFS(EpistaticInteractions!C2:C999, A7)</f>
        <v>0</v>
      </c>
      <c r="Q7" s="3">
        <f>IF(E7 &gt; 0, N7 / E7, 0)</f>
        <v>0.03225806451612903</v>
      </c>
      <c r="R7" s="3">
        <f>O7 * 10 + P7 * 5 + Q7</f>
        <v>10.03225806451613</v>
      </c>
      <c r="S7" s="3" t="b">
        <f>IF(E7 &lt;= 25, TRUE(), FALSE())</f>
        <v>0</v>
      </c>
      <c r="T7" s="3" t="b">
        <f>IF(E7 &gt;= 60, TRUE(), FALSE())</f>
        <v>0</v>
      </c>
      <c r="U7" s="4">
        <f>COUNTIFS(CausalMechanisms!C2:C999, A7,CausalMechanisms!AC2:AC999, TRUE())</f>
        <v>1</v>
      </c>
      <c r="V7" s="3">
        <f>SUMIFS(CausalMechanisms!AA2:AA999,CausalMechanisms!C2:C999, A7,CausalMechanisms!AC2:AC999, TRUE())</f>
        <v>0.8583333333333332</v>
      </c>
      <c r="W7" s="4">
        <f>COUNTIFS(CausalMechanisms!C2:C999, A7,CausalMechanisms!AD2:AD999, TRUE())</f>
        <v>0</v>
      </c>
      <c r="X7" s="3">
        <f>_xlfn.MAXIFS(ClinicalPhenotypes!G2:G999,ClinicalPhenotypes!C2:C999, A7)</f>
        <v>2</v>
      </c>
      <c r="Y7" s="4">
        <f>COUNTIFS(ClinicalPhenotypes!C2:C999, A7,ClinicalPhenotypes!N2:N999, TRUE())</f>
        <v>0</v>
      </c>
      <c r="Z7" s="3" t="b">
        <f>IF(Y7 &gt;= 1, TRUE(), FALSE())</f>
        <v>0</v>
      </c>
      <c r="AA7" s="4">
        <f>COUNTIFS(Treatments!C2:C999, A7,Treatments!P2:P999, TRUE())</f>
        <v>0</v>
      </c>
      <c r="AB7" s="3" t="b">
        <f>IF(AA7 &gt;= 1, TRUE(), FALSE())</f>
        <v>0</v>
      </c>
      <c r="AC7" s="2"/>
      <c r="AD7" s="2"/>
      <c r="AE7" s="2"/>
      <c r="AF7" s="2"/>
      <c r="AG7" s="2"/>
      <c r="AH7" s="2"/>
      <c r="AI7" s="2"/>
      <c r="AJ7" s="2"/>
      <c r="AK7" s="2"/>
      <c r="AL7" s="2" t="s">
        <v>172</v>
      </c>
      <c r="AM7" s="3">
        <f>COUNTIFS(SerologyObservations!B2:B999, A7)</f>
        <v>2</v>
      </c>
      <c r="AN7" s="3">
        <f>COUNTIFS(SerologyObservations!B2:B999, A7,SerologyObservations!Q2:Q999, TRUE())</f>
        <v>0</v>
      </c>
      <c r="AO7" s="3" t="b">
        <f>IF(AN7&gt;=1,TRUE(),FALSE())</f>
        <v>0</v>
      </c>
      <c r="AP7" s="3">
        <f>IF(AN7&gt;=2,2,IF(AN7&gt;=1,1,0))</f>
        <v>0</v>
      </c>
      <c r="AQ7" s="3">
        <f>_xlfn.MAXIFS(SerologyObservations!X2:X999,SerologyObservations!B2:B999, A7)</f>
        <v>0</v>
      </c>
      <c r="AR7" s="3">
        <f>_xlfn.MAXIFS(SerologyObservations!V2:V999,SerologyObservations!B2:B999, A7)</f>
        <v>0</v>
      </c>
      <c r="AS7" s="3" t="str">
        <f>IF(AQ7&gt;=5,"BiopsyIndicated",IF(AQ7&gt;=4,"RenalFlareRisk",IF(AQ7&gt;=3,"EarlyNephritis",IF(AQ7&gt;=2,"SerologicActive","PresymptomaticAutoimmunity"))))</f>
        <v>PresymptomaticAutoimmunity</v>
      </c>
      <c r="AT7" s="3" t="str">
        <f>IF(AR7&gt;=12,"High / flare",IF(AR7&gt;=6,"Moderate",IF(AR7&gt;=1,"Mild","Quiescent")))</f>
        <v>Quiescent</v>
      </c>
      <c r="AU7" s="3" t="b">
        <f>IF(AR7&gt;=12,TRUE(),FALSE())</f>
        <v>0</v>
      </c>
      <c r="AV7" s="3" t="b">
        <f>IF(OR(AS7="EarlyNephritis",AS7="RenalFlareRisk",AS7="BiopsyIndicated"),TRUE(),FALSE())</f>
        <v>0</v>
      </c>
      <c r="AW7" s="3">
        <f>_xlfn.MAXIFS(CausalMechanisms!H2:H999,CausalMechanisms!C2:C999, A7)</f>
        <v>4</v>
      </c>
      <c r="AX7" s="3" t="str">
        <f>IF(AW7=1,"type-I-IFN",IF(AW7=2,"B-cell/autoantibody",IF(AW7=3,"T-cell-costim",IF(AW7=4,"IL-17/23",""))))</f>
        <v>IL-17/23</v>
      </c>
      <c r="AY7" s="3" t="str">
        <f>"lupus-nephritis-progression--" &amp; LOWER(AS7)</f>
        <v>lupus-nephritis-progression--presymptomaticautoimmunity</v>
      </c>
      <c r="AZ7" s="4" t="e">
        <f>INDEX(MachineStates!Q2:Q999, MATCH(AY7,MachineStates!A2:A999, 0))</f>
        <v>#VALUE!</v>
      </c>
    </row>
    <row r="8">
      <c r="A8" s="2" t="s">
        <v>173</v>
      </c>
      <c r="B8" s="2" t="s">
        <v>174</v>
      </c>
      <c r="C8" s="2" t="s">
        <v>175</v>
      </c>
      <c r="D8" s="2" t="s">
        <v>171</v>
      </c>
      <c r="E8" s="5">
        <v>36</v>
      </c>
      <c r="F8" s="2" t="b">
        <v>1</v>
      </c>
      <c r="G8" s="2" t="s">
        <v>84</v>
      </c>
      <c r="H8" s="6">
        <v>45691</v>
      </c>
      <c r="I8" s="2" t="b">
        <v>0</v>
      </c>
      <c r="J8" s="3" t="str">
        <f>B8 &amp; " " &amp; C8</f>
        <v>Grace Lin</v>
      </c>
      <c r="K8" s="3" t="str">
        <f>SUBSTITUTE(LOWER(C8 &amp; "-" &amp; B8), " ", "-")</f>
        <v>lin-grace</v>
      </c>
      <c r="L8" s="3" t="str">
        <f>"/intake/new-patient/" &amp; K8</f>
        <v>/intake/new-patient/lin-grace</v>
      </c>
      <c r="M8" s="3" t="str">
        <f>IF(G8 = "", "", INDEX(FederatedDatasets!B2:B999, MATCH(G8,FederatedDatasets!A2:A999, 0)))</f>
        <v>Amazon Indigenous Cohort</v>
      </c>
      <c r="N8" s="4">
        <f>COUNTIFS(GenomicVariants!C2:C999, A8)</f>
        <v>1</v>
      </c>
      <c r="O8" s="4">
        <f>COUNTIFS(CausalMechanisms!C2:C999, A8)</f>
        <v>1</v>
      </c>
      <c r="P8" s="4">
        <f>COUNTIFS(EpistaticInteractions!C2:C999, A8)</f>
        <v>0</v>
      </c>
      <c r="Q8" s="3">
        <f>IF(E8 &gt; 0, N8 / E8, 0)</f>
        <v>0.027777777777777776</v>
      </c>
      <c r="R8" s="3">
        <f>O8 * 10 + P8 * 5 + Q8</f>
        <v>10.027777777777779</v>
      </c>
      <c r="S8" s="3" t="b">
        <f>IF(E8 &lt;= 25, TRUE(), FALSE())</f>
        <v>0</v>
      </c>
      <c r="T8" s="3" t="b">
        <f>IF(E8 &gt;= 60, TRUE(), FALSE())</f>
        <v>0</v>
      </c>
      <c r="U8" s="4">
        <f>COUNTIFS(CausalMechanisms!C2:C999, A8,CausalMechanisms!AC2:AC999, TRUE())</f>
        <v>1</v>
      </c>
      <c r="V8" s="3">
        <f>SUMIFS(CausalMechanisms!AA2:AA999,CausalMechanisms!C2:C999, A8,CausalMechanisms!AC2:AC999, TRUE())</f>
        <v>0.8583333333333332</v>
      </c>
      <c r="W8" s="4">
        <f>COUNTIFS(CausalMechanisms!C2:C999, A8,CausalMechanisms!AD2:AD999, TRUE())</f>
        <v>1</v>
      </c>
      <c r="X8" s="3">
        <f>_xlfn.MAXIFS(ClinicalPhenotypes!G2:G999,ClinicalPhenotypes!C2:C999, A8)</f>
        <v>6</v>
      </c>
      <c r="Y8" s="4">
        <f>COUNTIFS(ClinicalPhenotypes!C2:C999, A8,ClinicalPhenotypes!N2:N999, TRUE())</f>
        <v>0</v>
      </c>
      <c r="Z8" s="3" t="b">
        <f>IF(Y8 &gt;= 1, TRUE(), FALSE())</f>
        <v>0</v>
      </c>
      <c r="AA8" s="4">
        <f>COUNTIFS(Treatments!C2:C999, A8,Treatments!P2:P999, TRUE())</f>
        <v>1</v>
      </c>
      <c r="AB8" s="3" t="b">
        <f>IF(AA8 &gt;= 1, TRUE(), FALSE())</f>
        <v>1</v>
      </c>
      <c r="AC8" s="2"/>
      <c r="AD8" s="2"/>
      <c r="AE8" s="2"/>
      <c r="AF8" s="2"/>
      <c r="AG8" s="2"/>
      <c r="AH8" s="2"/>
      <c r="AI8" s="2"/>
      <c r="AJ8" s="2"/>
      <c r="AK8" s="2"/>
      <c r="AL8" s="2" t="s">
        <v>176</v>
      </c>
      <c r="AM8" s="3">
        <f>COUNTIFS(SerologyObservations!B2:B999, A8)</f>
        <v>2</v>
      </c>
      <c r="AN8" s="3">
        <f>COUNTIFS(SerologyObservations!B2:B999, A8,SerologyObservations!Q2:Q999, TRUE())</f>
        <v>0</v>
      </c>
      <c r="AO8" s="3" t="b">
        <f>IF(AN8&gt;=1,TRUE(),FALSE())</f>
        <v>0</v>
      </c>
      <c r="AP8" s="3">
        <f>IF(AN8&gt;=2,2,IF(AN8&gt;=1,1,0))</f>
        <v>0</v>
      </c>
      <c r="AQ8" s="3">
        <f>_xlfn.MAXIFS(SerologyObservations!X2:X999,SerologyObservations!B2:B999, A8)</f>
        <v>0</v>
      </c>
      <c r="AR8" s="3">
        <f>_xlfn.MAXIFS(SerologyObservations!V2:V999,SerologyObservations!B2:B999, A8)</f>
        <v>0</v>
      </c>
      <c r="AS8" s="3" t="str">
        <f>IF(AQ8&gt;=5,"BiopsyIndicated",IF(AQ8&gt;=4,"RenalFlareRisk",IF(AQ8&gt;=3,"EarlyNephritis",IF(AQ8&gt;=2,"SerologicActive","PresymptomaticAutoimmunity"))))</f>
        <v>PresymptomaticAutoimmunity</v>
      </c>
      <c r="AT8" s="3" t="str">
        <f>IF(AR8&gt;=12,"High / flare",IF(AR8&gt;=6,"Moderate",IF(AR8&gt;=1,"Mild","Quiescent")))</f>
        <v>Quiescent</v>
      </c>
      <c r="AU8" s="3" t="b">
        <f>IF(AR8&gt;=12,TRUE(),FALSE())</f>
        <v>0</v>
      </c>
      <c r="AV8" s="3" t="b">
        <f>IF(OR(AS8="EarlyNephritis",AS8="RenalFlareRisk",AS8="BiopsyIndicated"),TRUE(),FALSE())</f>
        <v>0</v>
      </c>
      <c r="AW8" s="3">
        <f>_xlfn.MAXIFS(CausalMechanisms!H2:H999,CausalMechanisms!C2:C999, A8)</f>
        <v>4</v>
      </c>
      <c r="AX8" s="3" t="str">
        <f>IF(AW8=1,"type-I-IFN",IF(AW8=2,"B-cell/autoantibody",IF(AW8=3,"T-cell-costim",IF(AW8=4,"IL-17/23",""))))</f>
        <v>IL-17/23</v>
      </c>
      <c r="AY8" s="3" t="str">
        <f>"lupus-nephritis-progression--" &amp; LOWER(AS8)</f>
        <v>lupus-nephritis-progression--presymptomaticautoimmunity</v>
      </c>
      <c r="AZ8" s="4" t="e">
        <f>INDEX(MachineStates!Q2:Q999, MATCH(AY8,MachineStates!A2:A999, 0))</f>
        <v>#VALUE!</v>
      </c>
    </row>
    <row r="9">
      <c r="A9" s="2" t="s">
        <v>177</v>
      </c>
      <c r="B9" s="2" t="s">
        <v>178</v>
      </c>
      <c r="C9" s="2" t="s">
        <v>179</v>
      </c>
      <c r="D9" s="2" t="s">
        <v>157</v>
      </c>
      <c r="E9" s="5">
        <v>33</v>
      </c>
      <c r="F9" s="2" t="b">
        <v>0</v>
      </c>
      <c r="G9" s="2"/>
      <c r="H9" s="6">
        <v>45839</v>
      </c>
      <c r="I9" s="2" t="b">
        <v>0</v>
      </c>
      <c r="J9" s="3" t="str">
        <f>B9 &amp; " " &amp; C9</f>
        <v>Hana Yamamoto</v>
      </c>
      <c r="K9" s="3" t="str">
        <f>SUBSTITUTE(LOWER(C9 &amp; "-" &amp; B9), " ", "-")</f>
        <v>yamamoto-hana</v>
      </c>
      <c r="L9" s="3" t="str">
        <f>"/intake/new-patient/" &amp; K9</f>
        <v>/intake/new-patient/yamamoto-hana</v>
      </c>
      <c r="M9" s="3" t="str">
        <f>IF(G9 = "", "", INDEX(FederatedDatasets!B2:B999, MATCH(G9,FederatedDatasets!A2:A999, 0)))</f>
      </c>
      <c r="N9" s="4">
        <f>COUNTIFS(GenomicVariants!C2:C999, A9)</f>
        <v>1</v>
      </c>
      <c r="O9" s="4">
        <f>COUNTIFS(CausalMechanisms!C2:C999, A9)</f>
        <v>1</v>
      </c>
      <c r="P9" s="4">
        <f>COUNTIFS(EpistaticInteractions!C2:C999, A9)</f>
        <v>0</v>
      </c>
      <c r="Q9" s="3">
        <f>IF(E9 &gt; 0, N9 / E9, 0)</f>
        <v>0.030303030303030304</v>
      </c>
      <c r="R9" s="3">
        <f>O9 * 10 + P9 * 5 + Q9</f>
        <v>10.030303030303031</v>
      </c>
      <c r="S9" s="3" t="b">
        <f>IF(E9 &lt;= 25, TRUE(), FALSE())</f>
        <v>0</v>
      </c>
      <c r="T9" s="3" t="b">
        <f>IF(E9 &gt;= 60, TRUE(), FALSE())</f>
        <v>0</v>
      </c>
      <c r="U9" s="4">
        <f>COUNTIFS(CausalMechanisms!C2:C999, A9,CausalMechanisms!AC2:AC999, TRUE())</f>
        <v>1</v>
      </c>
      <c r="V9" s="3">
        <f>SUMIFS(CausalMechanisms!AA2:AA999,CausalMechanisms!C2:C999, A9,CausalMechanisms!AC2:AC999, TRUE())</f>
        <v>0.7583333333333333</v>
      </c>
      <c r="W9" s="4">
        <f>COUNTIFS(CausalMechanisms!C2:C999, A9,CausalMechanisms!AD2:AD999, TRUE())</f>
        <v>1</v>
      </c>
      <c r="X9" s="3">
        <f>_xlfn.MAXIFS(ClinicalPhenotypes!G2:G999,ClinicalPhenotypes!C2:C999, A9)</f>
        <v>9</v>
      </c>
      <c r="Y9" s="4">
        <f>COUNTIFS(ClinicalPhenotypes!C2:C999, A9,ClinicalPhenotypes!N2:N999, TRUE())</f>
        <v>1</v>
      </c>
      <c r="Z9" s="3" t="b">
        <f>IF(Y9 &gt;= 1, TRUE(), FALSE())</f>
        <v>1</v>
      </c>
      <c r="AA9" s="4">
        <f>COUNTIFS(Treatments!C2:C999, A9,Treatments!P2:P999, TRUE())</f>
        <v>1</v>
      </c>
      <c r="AB9" s="3" t="b">
        <f>IF(AA9 &gt;= 1, TRUE(), FALSE())</f>
        <v>1</v>
      </c>
      <c r="AC9" s="2"/>
      <c r="AD9" s="2"/>
      <c r="AE9" s="2"/>
      <c r="AF9" s="2"/>
      <c r="AG9" s="2"/>
      <c r="AH9" s="2"/>
      <c r="AI9" s="2"/>
      <c r="AJ9" s="2"/>
      <c r="AK9" s="2"/>
      <c r="AL9" s="2" t="s">
        <v>180</v>
      </c>
      <c r="AM9" s="3">
        <f>COUNTIFS(SerologyObservations!B2:B999, A9)</f>
        <v>2</v>
      </c>
      <c r="AN9" s="3">
        <f>COUNTIFS(SerologyObservations!B2:B999, A9,SerologyObservations!Q2:Q999, TRUE())</f>
        <v>0</v>
      </c>
      <c r="AO9" s="3" t="b">
        <f>IF(AN9&gt;=1,TRUE(),FALSE())</f>
        <v>0</v>
      </c>
      <c r="AP9" s="3">
        <f>IF(AN9&gt;=2,2,IF(AN9&gt;=1,1,0))</f>
        <v>0</v>
      </c>
      <c r="AQ9" s="3">
        <f>_xlfn.MAXIFS(SerologyObservations!X2:X999,SerologyObservations!B2:B999, A9)</f>
        <v>3</v>
      </c>
      <c r="AR9" s="3">
        <f>_xlfn.MAXIFS(SerologyObservations!V2:V999,SerologyObservations!B2:B999, A9)</f>
        <v>0</v>
      </c>
      <c r="AS9" s="3" t="str">
        <f>IF(AQ9&gt;=5,"BiopsyIndicated",IF(AQ9&gt;=4,"RenalFlareRisk",IF(AQ9&gt;=3,"EarlyNephritis",IF(AQ9&gt;=2,"SerologicActive","PresymptomaticAutoimmunity"))))</f>
        <v>EarlyNephritis</v>
      </c>
      <c r="AT9" s="3" t="str">
        <f>IF(AR9&gt;=12,"High / flare",IF(AR9&gt;=6,"Moderate",IF(AR9&gt;=1,"Mild","Quiescent")))</f>
        <v>Quiescent</v>
      </c>
      <c r="AU9" s="3" t="b">
        <f>IF(AR9&gt;=12,TRUE(),FALSE())</f>
        <v>0</v>
      </c>
      <c r="AV9" s="3" t="b">
        <f>IF(OR(AS9="EarlyNephritis",AS9="RenalFlareRisk",AS9="BiopsyIndicated"),TRUE(),FALSE())</f>
        <v>1</v>
      </c>
      <c r="AW9" s="3">
        <f>_xlfn.MAXIFS(CausalMechanisms!H2:H999,CausalMechanisms!C2:C999, A9)</f>
        <v>1</v>
      </c>
      <c r="AX9" s="3" t="str">
        <f>IF(AW9=1,"type-I-IFN",IF(AW9=2,"B-cell/autoantibody",IF(AW9=3,"T-cell-costim",IF(AW9=4,"IL-17/23",""))))</f>
        <v>type-I-IFN</v>
      </c>
      <c r="AY9" s="3" t="str">
        <f>"lupus-nephritis-progression--" &amp; LOWER(AS9)</f>
        <v>lupus-nephritis-progression--earlynephritis</v>
      </c>
      <c r="AZ9" s="4" t="e">
        <f>INDEX(MachineStates!Q2:Q999, MATCH(AY9,MachineStates!A2:A999, 0))</f>
        <v>#VALUE!</v>
      </c>
    </row>
    <row r="10">
      <c r="A10" s="2" t="s">
        <v>181</v>
      </c>
      <c r="B10" s="2" t="s">
        <v>182</v>
      </c>
      <c r="C10" s="2" t="s">
        <v>183</v>
      </c>
      <c r="D10" s="2" t="s">
        <v>166</v>
      </c>
      <c r="E10" s="5">
        <v>45</v>
      </c>
      <c r="F10" s="2" t="b">
        <v>0</v>
      </c>
      <c r="G10" s="2"/>
      <c r="H10" s="6">
        <v>45809</v>
      </c>
      <c r="I10" s="2" t="b">
        <v>1</v>
      </c>
      <c r="J10" s="3" t="str">
        <f>B10 &amp; " " &amp; C10</f>
        <v>Ibrahim Conteh</v>
      </c>
      <c r="K10" s="3" t="str">
        <f>SUBSTITUTE(LOWER(C10 &amp; "-" &amp; B10), " ", "-")</f>
        <v>conteh-ibrahim</v>
      </c>
      <c r="L10" s="3" t="str">
        <f>"/intake/new-patient/" &amp; K10</f>
        <v>/intake/new-patient/conteh-ibrahim</v>
      </c>
      <c r="M10" s="3" t="str">
        <f>IF(G10 = "", "", INDEX(FederatedDatasets!B2:B999, MATCH(G10,FederatedDatasets!A2:A999, 0)))</f>
      </c>
      <c r="N10" s="4">
        <f>COUNTIFS(GenomicVariants!C2:C999, A10)</f>
        <v>1</v>
      </c>
      <c r="O10" s="4">
        <f>COUNTIFS(CausalMechanisms!C2:C999, A10)</f>
        <v>1</v>
      </c>
      <c r="P10" s="4">
        <f>COUNTIFS(EpistaticInteractions!C2:C999, A10)</f>
        <v>0</v>
      </c>
      <c r="Q10" s="3">
        <f>IF(E10 &gt; 0, N10 / E10, 0)</f>
        <v>0.022222222222222223</v>
      </c>
      <c r="R10" s="3">
        <f>O10 * 10 + P10 * 5 + Q10</f>
        <v>10.022222222222222</v>
      </c>
      <c r="S10" s="3" t="b">
        <f>IF(E10 &lt;= 25, TRUE(), FALSE())</f>
        <v>0</v>
      </c>
      <c r="T10" s="3" t="b">
        <f>IF(E10 &gt;= 60, TRUE(), FALSE())</f>
        <v>0</v>
      </c>
      <c r="U10" s="4">
        <f>COUNTIFS(CausalMechanisms!C2:C999, A10,CausalMechanisms!AC2:AC999, TRUE())</f>
        <v>1</v>
      </c>
      <c r="V10" s="3">
        <f>SUMIFS(CausalMechanisms!AA2:AA999,CausalMechanisms!C2:C999, A10,CausalMechanisms!AC2:AC999, TRUE())</f>
        <v>0.7583333333333333</v>
      </c>
      <c r="W10" s="4">
        <f>COUNTIFS(CausalMechanisms!C2:C999, A10,CausalMechanisms!AD2:AD999, TRUE())</f>
        <v>1</v>
      </c>
      <c r="X10" s="3">
        <f>_xlfn.MAXIFS(ClinicalPhenotypes!G2:G999,ClinicalPhenotypes!C2:C999, A10)</f>
        <v>8</v>
      </c>
      <c r="Y10" s="4">
        <f>COUNTIFS(ClinicalPhenotypes!C2:C999, A10,ClinicalPhenotypes!N2:N999, TRUE())</f>
        <v>1</v>
      </c>
      <c r="Z10" s="3" t="b">
        <f>IF(Y10 &gt;= 1, TRUE(), FALSE())</f>
        <v>1</v>
      </c>
      <c r="AA10" s="4">
        <f>COUNTIFS(Treatments!C2:C999, A10,Treatments!P2:P999, TRUE())</f>
        <v>0</v>
      </c>
      <c r="AB10" s="3" t="b">
        <f>IF(AA10 &gt;= 1, TRUE(), FALSE())</f>
        <v>0</v>
      </c>
      <c r="AC10" s="2"/>
      <c r="AD10" s="2"/>
      <c r="AE10" s="2"/>
      <c r="AF10" s="2"/>
      <c r="AG10" s="2"/>
      <c r="AH10" s="2"/>
      <c r="AI10" s="2"/>
      <c r="AJ10" s="2"/>
      <c r="AK10" s="2"/>
      <c r="AL10" s="2" t="s">
        <v>184</v>
      </c>
      <c r="AM10" s="3">
        <f>COUNTIFS(SerologyObservations!B2:B999, A10)</f>
        <v>2</v>
      </c>
      <c r="AN10" s="3">
        <f>COUNTIFS(SerologyObservations!B2:B999, A10,SerologyObservations!Q2:Q999, TRUE())</f>
        <v>0</v>
      </c>
      <c r="AO10" s="3" t="b">
        <f>IF(AN10&gt;=1,TRUE(),FALSE())</f>
        <v>0</v>
      </c>
      <c r="AP10" s="3">
        <f>IF(AN10&gt;=2,2,IF(AN10&gt;=1,1,0))</f>
        <v>0</v>
      </c>
      <c r="AQ10" s="3">
        <f>_xlfn.MAXIFS(SerologyObservations!X2:X999,SerologyObservations!B2:B999, A10)</f>
        <v>4</v>
      </c>
      <c r="AR10" s="3">
        <f>_xlfn.MAXIFS(SerologyObservations!V2:V999,SerologyObservations!B2:B999, A10)</f>
        <v>0</v>
      </c>
      <c r="AS10" s="3" t="str">
        <f>IF(AQ10&gt;=5,"BiopsyIndicated",IF(AQ10&gt;=4,"RenalFlareRisk",IF(AQ10&gt;=3,"EarlyNephritis",IF(AQ10&gt;=2,"SerologicActive","PresymptomaticAutoimmunity"))))</f>
        <v>RenalFlareRisk</v>
      </c>
      <c r="AT10" s="3" t="str">
        <f>IF(AR10&gt;=12,"High / flare",IF(AR10&gt;=6,"Moderate",IF(AR10&gt;=1,"Mild","Quiescent")))</f>
        <v>Quiescent</v>
      </c>
      <c r="AU10" s="3" t="b">
        <f>IF(AR10&gt;=12,TRUE(),FALSE())</f>
        <v>0</v>
      </c>
      <c r="AV10" s="3" t="b">
        <f>IF(OR(AS10="EarlyNephritis",AS10="RenalFlareRisk",AS10="BiopsyIndicated"),TRUE(),FALSE())</f>
        <v>1</v>
      </c>
      <c r="AW10" s="3">
        <f>_xlfn.MAXIFS(CausalMechanisms!H2:H999,CausalMechanisms!C2:C999, A10)</f>
        <v>2</v>
      </c>
      <c r="AX10" s="3" t="str">
        <f>IF(AW10=1,"type-I-IFN",IF(AW10=2,"B-cell/autoantibody",IF(AW10=3,"T-cell-costim",IF(AW10=4,"IL-17/23",""))))</f>
        <v>B-cell/autoantibody</v>
      </c>
      <c r="AY10" s="3" t="str">
        <f>"lupus-nephritis-progression--" &amp; LOWER(AS10)</f>
        <v>lupus-nephritis-progression--renalflarerisk</v>
      </c>
      <c r="AZ10" s="4" t="e">
        <f>INDEX(MachineStates!Q2:Q999, MATCH(AY10,MachineStates!A2:A999, 0))</f>
        <v>#VALUE!</v>
      </c>
    </row>
    <row r="11">
      <c r="A11" s="2" t="s">
        <v>185</v>
      </c>
      <c r="B11" s="2" t="s">
        <v>186</v>
      </c>
      <c r="C11" s="2" t="s">
        <v>187</v>
      </c>
      <c r="D11" s="2" t="s">
        <v>188</v>
      </c>
      <c r="E11" s="5">
        <v>52</v>
      </c>
      <c r="F11" s="2" t="b">
        <v>0</v>
      </c>
      <c r="G11" s="2" t="s">
        <v>75</v>
      </c>
      <c r="H11" s="6">
        <v>45058</v>
      </c>
      <c r="I11" s="2" t="b">
        <v>0</v>
      </c>
      <c r="J11" s="3" t="str">
        <f>B11 &amp; " " &amp; C11</f>
        <v>Jamal Brooks</v>
      </c>
      <c r="K11" s="3" t="str">
        <f>SUBSTITUTE(LOWER(C11 &amp; "-" &amp; B11), " ", "-")</f>
        <v>brooks-jamal</v>
      </c>
      <c r="L11" s="3" t="str">
        <f>"/intake/new-patient/" &amp; K11</f>
        <v>/intake/new-patient/brooks-jamal</v>
      </c>
      <c r="M11" s="3" t="str">
        <f>IF(G11 = "", "", INDEX(FederatedDatasets!B2:B999, MATCH(G11,FederatedDatasets!A2:A999, 0)))</f>
        <v>European Reference Node</v>
      </c>
      <c r="N11" s="4">
        <f>COUNTIFS(GenomicVariants!C2:C999, A11)</f>
        <v>1</v>
      </c>
      <c r="O11" s="4">
        <f>COUNTIFS(CausalMechanisms!C2:C999, A11)</f>
        <v>1</v>
      </c>
      <c r="P11" s="4">
        <f>COUNTIFS(EpistaticInteractions!C2:C999, A11)</f>
        <v>0</v>
      </c>
      <c r="Q11" s="3">
        <f>IF(E11 &gt; 0, N11 / E11, 0)</f>
        <v>0.019230769230769232</v>
      </c>
      <c r="R11" s="3">
        <f>O11 * 10 + P11 * 5 + Q11</f>
        <v>10.01923076923077</v>
      </c>
      <c r="S11" s="3" t="b">
        <f>IF(E11 &lt;= 25, TRUE(), FALSE())</f>
        <v>0</v>
      </c>
      <c r="T11" s="3" t="b">
        <f>IF(E11 &gt;= 60, TRUE(), FALSE())</f>
        <v>0</v>
      </c>
      <c r="U11" s="4">
        <f>COUNTIFS(CausalMechanisms!C2:C999, A11,CausalMechanisms!AC2:AC999, TRUE())</f>
        <v>1</v>
      </c>
      <c r="V11" s="3">
        <f>SUMIFS(CausalMechanisms!AA2:AA999,CausalMechanisms!C2:C999, A11,CausalMechanisms!AC2:AC999, TRUE())</f>
        <v>0.7583333333333333</v>
      </c>
      <c r="W11" s="4">
        <f>COUNTIFS(CausalMechanisms!C2:C999, A11,CausalMechanisms!AD2:AD999, TRUE())</f>
        <v>1</v>
      </c>
      <c r="X11" s="3">
        <f>_xlfn.MAXIFS(ClinicalPhenotypes!G2:G999,ClinicalPhenotypes!C2:C999, A11)</f>
        <v>8</v>
      </c>
      <c r="Y11" s="4">
        <f>COUNTIFS(ClinicalPhenotypes!C2:C999, A11,ClinicalPhenotypes!N2:N999, TRUE())</f>
        <v>1</v>
      </c>
      <c r="Z11" s="3" t="b">
        <f>IF(Y11 &gt;= 1, TRUE(), FALSE())</f>
        <v>1</v>
      </c>
      <c r="AA11" s="4">
        <f>COUNTIFS(Treatments!C2:C999, A11,Treatments!P2:P999, TRUE())</f>
        <v>1</v>
      </c>
      <c r="AB11" s="3" t="b">
        <f>IF(AA11 &gt;= 1, TRUE(), FALSE())</f>
        <v>1</v>
      </c>
      <c r="AC11" s="2"/>
      <c r="AD11" s="2"/>
      <c r="AE11" s="2"/>
      <c r="AF11" s="2"/>
      <c r="AG11" s="2"/>
      <c r="AH11" s="2"/>
      <c r="AI11" s="2"/>
      <c r="AJ11" s="2"/>
      <c r="AK11" s="2"/>
      <c r="AL11" s="2" t="s">
        <v>189</v>
      </c>
      <c r="AM11" s="3">
        <f>COUNTIFS(SerologyObservations!B2:B999, A11)</f>
        <v>2</v>
      </c>
      <c r="AN11" s="3">
        <f>COUNTIFS(SerologyObservations!B2:B999, A11,SerologyObservations!Q2:Q999, TRUE())</f>
        <v>0</v>
      </c>
      <c r="AO11" s="3" t="b">
        <f>IF(AN11&gt;=1,TRUE(),FALSE())</f>
        <v>0</v>
      </c>
      <c r="AP11" s="3">
        <f>IF(AN11&gt;=2,2,IF(AN11&gt;=1,1,0))</f>
        <v>0</v>
      </c>
      <c r="AQ11" s="3">
        <f>_xlfn.MAXIFS(SerologyObservations!X2:X999,SerologyObservations!B2:B999, A11)</f>
        <v>0</v>
      </c>
      <c r="AR11" s="3">
        <f>_xlfn.MAXIFS(SerologyObservations!V2:V999,SerologyObservations!B2:B999, A11)</f>
        <v>0</v>
      </c>
      <c r="AS11" s="3" t="str">
        <f>IF(AQ11&gt;=5,"BiopsyIndicated",IF(AQ11&gt;=4,"RenalFlareRisk",IF(AQ11&gt;=3,"EarlyNephritis",IF(AQ11&gt;=2,"SerologicActive","PresymptomaticAutoimmunity"))))</f>
        <v>PresymptomaticAutoimmunity</v>
      </c>
      <c r="AT11" s="3" t="str">
        <f>IF(AR11&gt;=12,"High / flare",IF(AR11&gt;=6,"Moderate",IF(AR11&gt;=1,"Mild","Quiescent")))</f>
        <v>Quiescent</v>
      </c>
      <c r="AU11" s="3" t="b">
        <f>IF(AR11&gt;=12,TRUE(),FALSE())</f>
        <v>0</v>
      </c>
      <c r="AV11" s="3" t="b">
        <f>IF(OR(AS11="EarlyNephritis",AS11="RenalFlareRisk",AS11="BiopsyIndicated"),TRUE(),FALSE())</f>
        <v>0</v>
      </c>
      <c r="AW11" s="3">
        <f>_xlfn.MAXIFS(CausalMechanisms!H2:H999,CausalMechanisms!C2:C999, A11)</f>
        <v>1</v>
      </c>
      <c r="AX11" s="3" t="str">
        <f>IF(AW11=1,"type-I-IFN",IF(AW11=2,"B-cell/autoantibody",IF(AW11=3,"T-cell-costim",IF(AW11=4,"IL-17/23",""))))</f>
        <v>type-I-IFN</v>
      </c>
      <c r="AY11" s="3" t="str">
        <f>"lupus-nephritis-progression--" &amp; LOWER(AS11)</f>
        <v>lupus-nephritis-progression--presymptomaticautoimmunity</v>
      </c>
      <c r="AZ11" s="4" t="e">
        <f>INDEX(MachineStates!Q2:Q999, MATCH(AY11,MachineStates!A2:A999, 0))</f>
        <v>#VALUE!</v>
      </c>
    </row>
    <row r="12">
      <c r="A12" s="2" t="s">
        <v>190</v>
      </c>
      <c r="B12" s="2" t="s">
        <v>191</v>
      </c>
      <c r="C12" s="2" t="s">
        <v>192</v>
      </c>
      <c r="D12" s="2" t="s">
        <v>193</v>
      </c>
      <c r="E12" s="5">
        <v>39</v>
      </c>
      <c r="F12" s="2" t="b">
        <v>1</v>
      </c>
      <c r="G12" s="2" t="s">
        <v>84</v>
      </c>
      <c r="H12" s="6">
        <v>45689</v>
      </c>
      <c r="I12" s="2" t="b">
        <v>0</v>
      </c>
      <c r="J12" s="3" t="str">
        <f>B12 &amp; " " &amp; C12</f>
        <v>Kavya Nair</v>
      </c>
      <c r="K12" s="3" t="str">
        <f>SUBSTITUTE(LOWER(C12 &amp; "-" &amp; B12), " ", "-")</f>
        <v>nair-kavya</v>
      </c>
      <c r="L12" s="3" t="str">
        <f>"/intake/new-patient/" &amp; K12</f>
        <v>/intake/new-patient/nair-kavya</v>
      </c>
      <c r="M12" s="3" t="str">
        <f>IF(G12 = "", "", INDEX(FederatedDatasets!B2:B999, MATCH(G12,FederatedDatasets!A2:A999, 0)))</f>
        <v>Amazon Indigenous Cohort</v>
      </c>
      <c r="N12" s="4">
        <f>COUNTIFS(GenomicVariants!C2:C999, A12)</f>
        <v>1</v>
      </c>
      <c r="O12" s="4">
        <f>COUNTIFS(CausalMechanisms!C2:C999, A12)</f>
        <v>1</v>
      </c>
      <c r="P12" s="4">
        <f>COUNTIFS(EpistaticInteractions!C2:C999, A12)</f>
        <v>0</v>
      </c>
      <c r="Q12" s="3">
        <f>IF(E12 &gt; 0, N12 / E12, 0)</f>
        <v>0.02564102564102564</v>
      </c>
      <c r="R12" s="3">
        <f>O12 * 10 + P12 * 5 + Q12</f>
        <v>10.025641025641026</v>
      </c>
      <c r="S12" s="3" t="b">
        <f>IF(E12 &lt;= 25, TRUE(), FALSE())</f>
        <v>0</v>
      </c>
      <c r="T12" s="3" t="b">
        <f>IF(E12 &gt;= 60, TRUE(), FALSE())</f>
        <v>0</v>
      </c>
      <c r="U12" s="4">
        <f>COUNTIFS(CausalMechanisms!C2:C999, A12,CausalMechanisms!AC2:AC999, TRUE())</f>
        <v>1</v>
      </c>
      <c r="V12" s="3">
        <f>SUMIFS(CausalMechanisms!AA2:AA999,CausalMechanisms!C2:C999, A12,CausalMechanisms!AC2:AC999, TRUE())</f>
        <v>0.8583333333333332</v>
      </c>
      <c r="W12" s="4">
        <f>COUNTIFS(CausalMechanisms!C2:C999, A12,CausalMechanisms!AD2:AD999, TRUE())</f>
        <v>0</v>
      </c>
      <c r="X12" s="3">
        <f>_xlfn.MAXIFS(ClinicalPhenotypes!G2:G999,ClinicalPhenotypes!C2:C999, A12)</f>
        <v>2</v>
      </c>
      <c r="Y12" s="4">
        <f>COUNTIFS(ClinicalPhenotypes!C2:C999, A12,ClinicalPhenotypes!N2:N999, TRUE())</f>
        <v>0</v>
      </c>
      <c r="Z12" s="3" t="b">
        <f>IF(Y12 &gt;= 1, TRUE(), FALSE())</f>
        <v>0</v>
      </c>
      <c r="AA12" s="4">
        <f>COUNTIFS(Treatments!C2:C999, A12,Treatments!P2:P999, TRUE())</f>
        <v>0</v>
      </c>
      <c r="AB12" s="3" t="b">
        <f>IF(AA12 &gt;= 1, TRUE(), FALSE())</f>
        <v>0</v>
      </c>
      <c r="AC12" s="2"/>
      <c r="AD12" s="2"/>
      <c r="AE12" s="2"/>
      <c r="AF12" s="2"/>
      <c r="AG12" s="2"/>
      <c r="AH12" s="2"/>
      <c r="AI12" s="2"/>
      <c r="AJ12" s="2"/>
      <c r="AK12" s="2"/>
      <c r="AL12" s="2" t="s">
        <v>194</v>
      </c>
      <c r="AM12" s="3">
        <f>COUNTIFS(SerologyObservations!B2:B999, A12)</f>
        <v>2</v>
      </c>
      <c r="AN12" s="3">
        <f>COUNTIFS(SerologyObservations!B2:B999, A12,SerologyObservations!Q2:Q999, TRUE())</f>
        <v>0</v>
      </c>
      <c r="AO12" s="3" t="b">
        <f>IF(AN12&gt;=1,TRUE(),FALSE())</f>
        <v>0</v>
      </c>
      <c r="AP12" s="3">
        <f>IF(AN12&gt;=2,2,IF(AN12&gt;=1,1,0))</f>
        <v>0</v>
      </c>
      <c r="AQ12" s="3">
        <f>_xlfn.MAXIFS(SerologyObservations!X2:X999,SerologyObservations!B2:B999, A12)</f>
        <v>0</v>
      </c>
      <c r="AR12" s="3">
        <f>_xlfn.MAXIFS(SerologyObservations!V2:V999,SerologyObservations!B2:B999, A12)</f>
        <v>0</v>
      </c>
      <c r="AS12" s="3" t="str">
        <f>IF(AQ12&gt;=5,"BiopsyIndicated",IF(AQ12&gt;=4,"RenalFlareRisk",IF(AQ12&gt;=3,"EarlyNephritis",IF(AQ12&gt;=2,"SerologicActive","PresymptomaticAutoimmunity"))))</f>
        <v>PresymptomaticAutoimmunity</v>
      </c>
      <c r="AT12" s="3" t="str">
        <f>IF(AR12&gt;=12,"High / flare",IF(AR12&gt;=6,"Moderate",IF(AR12&gt;=1,"Mild","Quiescent")))</f>
        <v>Quiescent</v>
      </c>
      <c r="AU12" s="3" t="b">
        <f>IF(AR12&gt;=12,TRUE(),FALSE())</f>
        <v>0</v>
      </c>
      <c r="AV12" s="3" t="b">
        <f>IF(OR(AS12="EarlyNephritis",AS12="RenalFlareRisk",AS12="BiopsyIndicated"),TRUE(),FALSE())</f>
        <v>0</v>
      </c>
      <c r="AW12" s="3">
        <f>_xlfn.MAXIFS(CausalMechanisms!H2:H999,CausalMechanisms!C2:C999, A12)</f>
        <v>4</v>
      </c>
      <c r="AX12" s="3" t="str">
        <f>IF(AW12=1,"type-I-IFN",IF(AW12=2,"B-cell/autoantibody",IF(AW12=3,"T-cell-costim",IF(AW12=4,"IL-17/23",""))))</f>
        <v>IL-17/23</v>
      </c>
      <c r="AY12" s="3" t="str">
        <f>"lupus-nephritis-progression--" &amp; LOWER(AS12)</f>
        <v>lupus-nephritis-progression--presymptomaticautoimmunity</v>
      </c>
      <c r="AZ12" s="4" t="e">
        <f>INDEX(MachineStates!Q2:Q999, MATCH(AY12,MachineStates!A2:A999, 0))</f>
        <v>#VALUE!</v>
      </c>
    </row>
    <row r="13">
      <c r="A13" s="2" t="s">
        <v>195</v>
      </c>
      <c r="B13" s="2" t="s">
        <v>196</v>
      </c>
      <c r="C13" s="2" t="s">
        <v>197</v>
      </c>
      <c r="D13" s="2" t="s">
        <v>171</v>
      </c>
      <c r="E13" s="5">
        <v>28</v>
      </c>
      <c r="F13" s="2" t="b">
        <v>1</v>
      </c>
      <c r="G13" s="2" t="s">
        <v>84</v>
      </c>
      <c r="H13" s="6">
        <v>45691</v>
      </c>
      <c r="I13" s="2" t="b">
        <v>0</v>
      </c>
      <c r="J13" s="3" t="str">
        <f>B13 &amp; " " &amp; C13</f>
        <v>Lena Brandt</v>
      </c>
      <c r="K13" s="3" t="str">
        <f>SUBSTITUTE(LOWER(C13 &amp; "-" &amp; B13), " ", "-")</f>
        <v>brandt-lena</v>
      </c>
      <c r="L13" s="3" t="str">
        <f>"/intake/new-patient/" &amp; K13</f>
        <v>/intake/new-patient/brandt-lena</v>
      </c>
      <c r="M13" s="3" t="str">
        <f>IF(G13 = "", "", INDEX(FederatedDatasets!B2:B999, MATCH(G13,FederatedDatasets!A2:A999, 0)))</f>
        <v>Amazon Indigenous Cohort</v>
      </c>
      <c r="N13" s="4">
        <f>COUNTIFS(GenomicVariants!C2:C999, A13)</f>
        <v>1</v>
      </c>
      <c r="O13" s="4">
        <f>COUNTIFS(CausalMechanisms!C2:C999, A13)</f>
        <v>1</v>
      </c>
      <c r="P13" s="4">
        <f>COUNTIFS(EpistaticInteractions!C2:C999, A13)</f>
        <v>0</v>
      </c>
      <c r="Q13" s="3">
        <f>IF(E13 &gt; 0, N13 / E13, 0)</f>
        <v>0.03571428571428571</v>
      </c>
      <c r="R13" s="3">
        <f>O13 * 10 + P13 * 5 + Q13</f>
        <v>10.035714285714286</v>
      </c>
      <c r="S13" s="3" t="b">
        <f>IF(E13 &lt;= 25, TRUE(), FALSE())</f>
        <v>0</v>
      </c>
      <c r="T13" s="3" t="b">
        <f>IF(E13 &gt;= 60, TRUE(), FALSE())</f>
        <v>0</v>
      </c>
      <c r="U13" s="4">
        <f>COUNTIFS(CausalMechanisms!C2:C999, A13,CausalMechanisms!AC2:AC999, TRUE())</f>
        <v>1</v>
      </c>
      <c r="V13" s="3">
        <f>SUMIFS(CausalMechanisms!AA2:AA999,CausalMechanisms!C2:C999, A13,CausalMechanisms!AC2:AC999, TRUE())</f>
        <v>0.8583333333333332</v>
      </c>
      <c r="W13" s="4">
        <f>COUNTIFS(CausalMechanisms!C2:C999, A13,CausalMechanisms!AD2:AD999, TRUE())</f>
        <v>1</v>
      </c>
      <c r="X13" s="3">
        <f>_xlfn.MAXIFS(ClinicalPhenotypes!G2:G999,ClinicalPhenotypes!C2:C999, A13)</f>
        <v>6</v>
      </c>
      <c r="Y13" s="4">
        <f>COUNTIFS(ClinicalPhenotypes!C2:C999, A13,ClinicalPhenotypes!N2:N999, TRUE())</f>
        <v>0</v>
      </c>
      <c r="Z13" s="3" t="b">
        <f>IF(Y13 &gt;= 1, TRUE(), FALSE())</f>
        <v>0</v>
      </c>
      <c r="AA13" s="4">
        <f>COUNTIFS(Treatments!C2:C999, A13,Treatments!P2:P999, TRUE())</f>
        <v>1</v>
      </c>
      <c r="AB13" s="3" t="b">
        <f>IF(AA13 &gt;= 1, TRUE(), FALSE())</f>
        <v>1</v>
      </c>
      <c r="AC13" s="2"/>
      <c r="AD13" s="2"/>
      <c r="AE13" s="2"/>
      <c r="AF13" s="2"/>
      <c r="AG13" s="2"/>
      <c r="AH13" s="2"/>
      <c r="AI13" s="2"/>
      <c r="AJ13" s="2"/>
      <c r="AK13" s="2"/>
      <c r="AL13" s="2" t="s">
        <v>198</v>
      </c>
      <c r="AM13" s="3">
        <f>COUNTIFS(SerologyObservations!B2:B999, A13)</f>
        <v>2</v>
      </c>
      <c r="AN13" s="3">
        <f>COUNTIFS(SerologyObservations!B2:B999, A13,SerologyObservations!Q2:Q999, TRUE())</f>
        <v>0</v>
      </c>
      <c r="AO13" s="3" t="b">
        <f>IF(AN13&gt;=1,TRUE(),FALSE())</f>
        <v>0</v>
      </c>
      <c r="AP13" s="3">
        <f>IF(AN13&gt;=2,2,IF(AN13&gt;=1,1,0))</f>
        <v>0</v>
      </c>
      <c r="AQ13" s="3">
        <f>_xlfn.MAXIFS(SerologyObservations!X2:X999,SerologyObservations!B2:B999, A13)</f>
        <v>0</v>
      </c>
      <c r="AR13" s="3">
        <f>_xlfn.MAXIFS(SerologyObservations!V2:V999,SerologyObservations!B2:B999, A13)</f>
        <v>0</v>
      </c>
      <c r="AS13" s="3" t="str">
        <f>IF(AQ13&gt;=5,"BiopsyIndicated",IF(AQ13&gt;=4,"RenalFlareRisk",IF(AQ13&gt;=3,"EarlyNephritis",IF(AQ13&gt;=2,"SerologicActive","PresymptomaticAutoimmunity"))))</f>
        <v>PresymptomaticAutoimmunity</v>
      </c>
      <c r="AT13" s="3" t="str">
        <f>IF(AR13&gt;=12,"High / flare",IF(AR13&gt;=6,"Moderate",IF(AR13&gt;=1,"Mild","Quiescent")))</f>
        <v>Quiescent</v>
      </c>
      <c r="AU13" s="3" t="b">
        <f>IF(AR13&gt;=12,TRUE(),FALSE())</f>
        <v>0</v>
      </c>
      <c r="AV13" s="3" t="b">
        <f>IF(OR(AS13="EarlyNephritis",AS13="RenalFlareRisk",AS13="BiopsyIndicated"),TRUE(),FALSE())</f>
        <v>0</v>
      </c>
      <c r="AW13" s="3">
        <f>_xlfn.MAXIFS(CausalMechanisms!H2:H999,CausalMechanisms!C2:C999, A13)</f>
        <v>4</v>
      </c>
      <c r="AX13" s="3" t="str">
        <f>IF(AW13=1,"type-I-IFN",IF(AW13=2,"B-cell/autoantibody",IF(AW13=3,"T-cell-costim",IF(AW13=4,"IL-17/23",""))))</f>
        <v>IL-17/23</v>
      </c>
      <c r="AY13" s="3" t="str">
        <f>"lupus-nephritis-progression--" &amp; LOWER(AS13)</f>
        <v>lupus-nephritis-progression--presymptomaticautoimmunity</v>
      </c>
      <c r="AZ13" s="4" t="e">
        <f>INDEX(MachineStates!Q2:Q999, MATCH(AY13,MachineStates!A2:A999, 0))</f>
        <v>#VALUE!</v>
      </c>
    </row>
  </sheetData>
  <autoFilter ref="A1:AZ1"/>
  <headerFooter/>
  <legacyDrawing r:id="rId1"/>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13"/>
  <sheetViews>
    <sheetView workbookViewId="0">
      <pane ySplit="1" topLeftCell="A2" state="frozen" activePane="bottomLeft"/>
      <selection pane="bottomLeft" activeCell="A1" sqref="A1"/>
    </sheetView>
  </sheetViews>
  <sheetFormatPr defaultRowHeight="15"/>
  <cols>
    <col min="1" max="1" width="18.3660888671875" customWidth="1"/>
    <col min="2" max="2" width="30.305383682250977" customWidth="1"/>
    <col min="3" max="3" width="17.443378448486328" customWidth="1"/>
    <col min="4" max="4" width="17.443378448486328" customWidth="1"/>
    <col min="5" max="5" width="17.443378448486328" customWidth="1"/>
    <col min="6" max="6" width="26.79062843322754" customWidth="1"/>
    <col min="7" max="7" width="30.305383682250977" customWidth="1"/>
    <col min="8" max="8" width="35.28116226196289" customWidth="1"/>
    <col min="9" max="9" width="53.47755813598633" customWidth="1"/>
    <col min="10" max="10" width="18.888599395751953" customWidth="1"/>
    <col min="11" max="11" width="18.98661994934082" customWidth="1"/>
    <col min="12" max="12" width="23.68052864074707" customWidth="1"/>
    <col min="13" max="13" width="17.443378448486328" customWidth="1"/>
    <col min="14" max="14" width="18.677034378051758" customWidth="1"/>
    <col min="15" max="15" width="110.33841705322266" customWidth="1"/>
  </cols>
  <sheetData>
    <row r="1">
      <c r="A1" s="1" t="s">
        <v>199</v>
      </c>
      <c r="B1" s="1" t="s">
        <v>200</v>
      </c>
      <c r="C1" s="1" t="s">
        <v>201</v>
      </c>
      <c r="D1" s="1" t="s">
        <v>202</v>
      </c>
      <c r="E1" s="1" t="s">
        <v>203</v>
      </c>
      <c r="F1" s="1" t="s">
        <v>204</v>
      </c>
      <c r="G1" s="1" t="s">
        <v>3</v>
      </c>
      <c r="H1" s="1" t="s">
        <v>23</v>
      </c>
      <c r="I1" s="1" t="s">
        <v>4</v>
      </c>
      <c r="J1" s="1" t="s">
        <v>205</v>
      </c>
      <c r="K1" s="1" t="s">
        <v>206</v>
      </c>
      <c r="L1" s="1" t="s">
        <v>207</v>
      </c>
      <c r="M1" s="1" t="s">
        <v>208</v>
      </c>
      <c r="N1" s="1" t="s">
        <v>209</v>
      </c>
      <c r="O1" s="1" t="s">
        <v>210</v>
      </c>
    </row>
    <row r="2">
      <c r="A2" s="2" t="s">
        <v>211</v>
      </c>
      <c r="B2" s="2" t="s">
        <v>212</v>
      </c>
      <c r="C2" s="2" t="s">
        <v>145</v>
      </c>
      <c r="D2" s="2" t="s">
        <v>92</v>
      </c>
      <c r="E2" s="2">
        <v>0.006</v>
      </c>
      <c r="F2" s="2" t="b">
        <v>1</v>
      </c>
      <c r="G2" s="3" t="str">
        <f>B2</f>
        <v>IRF5 regulatory (rs2004640)</v>
      </c>
      <c r="H2" s="3" t="str">
        <f>INDEX(Individuals!L2:L999, MATCH(C2,Individuals!A2:A999, 0))</f>
        <v>/intake/new-patient/reyes-ana</v>
      </c>
      <c r="I2" s="3" t="str">
        <f>H2 &amp; "/variants/" &amp; A2</f>
        <v>/intake/new-patient/reyes-ana/variants/var-a-irf5</v>
      </c>
      <c r="J2" s="3" t="str">
        <f>INDEX(VariantTypes!B2:B999, MATCH(D2,VariantTypes!A2:A999, 0))</f>
        <v>Regulatory Variant</v>
      </c>
      <c r="K2" s="3" t="b">
        <f>INDEX(VariantTypes!C2:C999, MATCH(D2,VariantTypes!A2:A999, 0))</f>
        <v>1</v>
      </c>
      <c r="L2" s="3" t="str">
        <f>INDEX(Individuals!D2:D999, MATCH(C2,Individuals!A2:A999, 0))</f>
        <v>European</v>
      </c>
      <c r="M2" s="3" t="b">
        <f>IF(E2 &lt; 0.01, TRUE(), FALSE())</f>
        <v>1</v>
      </c>
      <c r="N2" s="3" t="b">
        <f>IF(AND(OR(M2, K2), F2), TRUE(), FALSE())</f>
        <v>1</v>
      </c>
      <c r="O2" s="2" t="s">
        <v>213</v>
      </c>
    </row>
    <row r="3">
      <c r="A3" s="2" t="s">
        <v>214</v>
      </c>
      <c r="B3" s="2" t="s">
        <v>212</v>
      </c>
      <c r="C3" s="2" t="s">
        <v>150</v>
      </c>
      <c r="D3" s="2" t="s">
        <v>92</v>
      </c>
      <c r="E3" s="2">
        <v>0.006</v>
      </c>
      <c r="F3" s="2" t="b">
        <v>1</v>
      </c>
      <c r="G3" s="3" t="str">
        <f>B3</f>
        <v>IRF5 regulatory (rs2004640)</v>
      </c>
      <c r="H3" s="3" t="str">
        <f>INDEX(Individuals!L2:L999, MATCH(C3,Individuals!A2:A999, 0))</f>
        <v>/intake/new-patient/okafor-bili</v>
      </c>
      <c r="I3" s="3" t="str">
        <f>H3 &amp; "/variants/" &amp; A3</f>
        <v>/intake/new-patient/okafor-bili/variants/var-b-irf5</v>
      </c>
      <c r="J3" s="3" t="str">
        <f>INDEX(VariantTypes!B2:B999, MATCH(D3,VariantTypes!A2:A999, 0))</f>
        <v>Regulatory Variant</v>
      </c>
      <c r="K3" s="3" t="b">
        <f>INDEX(VariantTypes!C2:C999, MATCH(D3,VariantTypes!A2:A999, 0))</f>
        <v>1</v>
      </c>
      <c r="L3" s="3" t="str">
        <f>INDEX(Individuals!D2:D999, MATCH(C3,Individuals!A2:A999, 0))</f>
        <v>European</v>
      </c>
      <c r="M3" s="3" t="b">
        <f>IF(E3 &lt; 0.01, TRUE(), FALSE())</f>
        <v>1</v>
      </c>
      <c r="N3" s="3" t="b">
        <f>IF(AND(OR(M3, K3), F3), TRUE(), FALSE())</f>
        <v>1</v>
      </c>
      <c r="O3" s="2" t="s">
        <v>215</v>
      </c>
    </row>
    <row r="4">
      <c r="A4" s="2" t="s">
        <v>216</v>
      </c>
      <c r="B4" s="2" t="s">
        <v>217</v>
      </c>
      <c r="C4" s="2" t="s">
        <v>154</v>
      </c>
      <c r="D4" s="2" t="s">
        <v>92</v>
      </c>
      <c r="E4" s="2">
        <v>0.008</v>
      </c>
      <c r="F4" s="2" t="b">
        <v>1</v>
      </c>
      <c r="G4" s="3" t="str">
        <f>B4</f>
        <v>STAT4 regulatory (rs7574865)</v>
      </c>
      <c r="H4" s="3" t="str">
        <f>INDEX(Individuals!L2:L999, MATCH(C4,Individuals!A2:A999, 0))</f>
        <v>/intake/new-patient/wei-chen</v>
      </c>
      <c r="I4" s="3" t="str">
        <f>H4 &amp; "/variants/" &amp; A4</f>
        <v>/intake/new-patient/wei-chen/variants/var-c-stat4</v>
      </c>
      <c r="J4" s="3" t="str">
        <f>INDEX(VariantTypes!B2:B999, MATCH(D4,VariantTypes!A2:A999, 0))</f>
        <v>Regulatory Variant</v>
      </c>
      <c r="K4" s="3" t="b">
        <f>INDEX(VariantTypes!C2:C999, MATCH(D4,VariantTypes!A2:A999, 0))</f>
        <v>1</v>
      </c>
      <c r="L4" s="3" t="str">
        <f>INDEX(Individuals!D2:D999, MATCH(C4,Individuals!A2:A999, 0))</f>
        <v>East Asian</v>
      </c>
      <c r="M4" s="3" t="b">
        <f>IF(E4 &lt; 0.01, TRUE(), FALSE())</f>
        <v>1</v>
      </c>
      <c r="N4" s="3" t="b">
        <f>IF(AND(OR(M4, K4), F4), TRUE(), FALSE())</f>
        <v>1</v>
      </c>
      <c r="O4" s="2" t="s">
        <v>218</v>
      </c>
    </row>
    <row r="5">
      <c r="A5" s="2" t="s">
        <v>219</v>
      </c>
      <c r="B5" s="2" t="s">
        <v>212</v>
      </c>
      <c r="C5" s="2" t="s">
        <v>159</v>
      </c>
      <c r="D5" s="2" t="s">
        <v>92</v>
      </c>
      <c r="E5" s="2">
        <v>0.006</v>
      </c>
      <c r="F5" s="2" t="b">
        <v>1</v>
      </c>
      <c r="G5" s="3" t="str">
        <f>B5</f>
        <v>IRF5 regulatory (rs2004640)</v>
      </c>
      <c r="H5" s="3" t="str">
        <f>INDEX(Individuals!L2:L999, MATCH(C5,Individuals!A2:A999, 0))</f>
        <v>/intake/new-patient/santos-diego</v>
      </c>
      <c r="I5" s="3" t="str">
        <f>H5 &amp; "/variants/" &amp; A5</f>
        <v>/intake/new-patient/santos-diego/variants/var-d-irf5</v>
      </c>
      <c r="J5" s="3" t="str">
        <f>INDEX(VariantTypes!B2:B999, MATCH(D5,VariantTypes!A2:A999, 0))</f>
        <v>Regulatory Variant</v>
      </c>
      <c r="K5" s="3" t="b">
        <f>INDEX(VariantTypes!C2:C999, MATCH(D5,VariantTypes!A2:A999, 0))</f>
        <v>1</v>
      </c>
      <c r="L5" s="3" t="str">
        <f>INDEX(Individuals!D2:D999, MATCH(C5,Individuals!A2:A999, 0))</f>
        <v>European</v>
      </c>
      <c r="M5" s="3" t="b">
        <f>IF(E5 &lt; 0.01, TRUE(), FALSE())</f>
        <v>1</v>
      </c>
      <c r="N5" s="3" t="b">
        <f>IF(AND(OR(M5, K5), F5), TRUE(), FALSE())</f>
        <v>1</v>
      </c>
      <c r="O5" s="2" t="s">
        <v>215</v>
      </c>
    </row>
    <row r="6">
      <c r="A6" s="2" t="s">
        <v>220</v>
      </c>
      <c r="B6" s="2" t="s">
        <v>221</v>
      </c>
      <c r="C6" s="2" t="s">
        <v>163</v>
      </c>
      <c r="D6" s="2" t="s">
        <v>92</v>
      </c>
      <c r="E6" s="2">
        <v>0.007</v>
      </c>
      <c r="F6" s="2" t="b">
        <v>1</v>
      </c>
      <c r="G6" s="3" t="str">
        <f>B6</f>
        <v>CTLA4 enhancer (rs3087243)</v>
      </c>
      <c r="H6" s="3" t="str">
        <f>INDEX(Individuals!L2:L999, MATCH(C6,Individuals!A2:A999, 0))</f>
        <v>/intake/new-patient/mensah-esi</v>
      </c>
      <c r="I6" s="3" t="str">
        <f>H6 &amp; "/variants/" &amp; A6</f>
        <v>/intake/new-patient/mensah-esi/variants/var-e-ctla4</v>
      </c>
      <c r="J6" s="3" t="str">
        <f>INDEX(VariantTypes!B2:B999, MATCH(D6,VariantTypes!A2:A999, 0))</f>
        <v>Regulatory Variant</v>
      </c>
      <c r="K6" s="3" t="b">
        <f>INDEX(VariantTypes!C2:C999, MATCH(D6,VariantTypes!A2:A999, 0))</f>
        <v>1</v>
      </c>
      <c r="L6" s="3" t="str">
        <f>INDEX(Individuals!D2:D999, MATCH(C6,Individuals!A2:A999, 0))</f>
        <v>African</v>
      </c>
      <c r="M6" s="3" t="b">
        <f>IF(E6 &lt; 0.01, TRUE(), FALSE())</f>
        <v>1</v>
      </c>
      <c r="N6" s="3" t="b">
        <f>IF(AND(OR(M6, K6), F6), TRUE(), FALSE())</f>
        <v>1</v>
      </c>
      <c r="O6" s="2" t="s">
        <v>222</v>
      </c>
    </row>
    <row r="7">
      <c r="A7" s="2" t="s">
        <v>223</v>
      </c>
      <c r="B7" s="2" t="s">
        <v>224</v>
      </c>
      <c r="C7" s="2" t="s">
        <v>168</v>
      </c>
      <c r="D7" s="2" t="s">
        <v>92</v>
      </c>
      <c r="E7" s="2">
        <v>0.009</v>
      </c>
      <c r="F7" s="2" t="b">
        <v>1</v>
      </c>
      <c r="G7" s="3" t="str">
        <f>B7</f>
        <v>IL23R regulatory (rs11209026)</v>
      </c>
      <c r="H7" s="3" t="str">
        <f>INDEX(Individuals!L2:L999, MATCH(C7,Individuals!A2:A999, 0))</f>
        <v>/intake/new-patient/haidar-faisal</v>
      </c>
      <c r="I7" s="3" t="str">
        <f>H7 &amp; "/variants/" &amp; A7</f>
        <v>/intake/new-patient/haidar-faisal/variants/var-f-il23r</v>
      </c>
      <c r="J7" s="3" t="str">
        <f>INDEX(VariantTypes!B2:B999, MATCH(D7,VariantTypes!A2:A999, 0))</f>
        <v>Regulatory Variant</v>
      </c>
      <c r="K7" s="3" t="b">
        <f>INDEX(VariantTypes!C2:C999, MATCH(D7,VariantTypes!A2:A999, 0))</f>
        <v>1</v>
      </c>
      <c r="L7" s="3" t="str">
        <f>INDEX(Individuals!D2:D999, MATCH(C7,Individuals!A2:A999, 0))</f>
        <v>Indigenous American</v>
      </c>
      <c r="M7" s="3" t="b">
        <f>IF(E7 &lt; 0.01, TRUE(), FALSE())</f>
        <v>1</v>
      </c>
      <c r="N7" s="3" t="b">
        <f>IF(AND(OR(M7, K7), F7), TRUE(), FALSE())</f>
        <v>1</v>
      </c>
      <c r="O7" s="2" t="s">
        <v>225</v>
      </c>
    </row>
    <row r="8">
      <c r="A8" s="2" t="s">
        <v>226</v>
      </c>
      <c r="B8" s="2" t="s">
        <v>224</v>
      </c>
      <c r="C8" s="2" t="s">
        <v>173</v>
      </c>
      <c r="D8" s="2" t="s">
        <v>92</v>
      </c>
      <c r="E8" s="2">
        <v>0.009</v>
      </c>
      <c r="F8" s="2" t="b">
        <v>1</v>
      </c>
      <c r="G8" s="3" t="str">
        <f>B8</f>
        <v>IL23R regulatory (rs11209026)</v>
      </c>
      <c r="H8" s="3" t="str">
        <f>INDEX(Individuals!L2:L999, MATCH(C8,Individuals!A2:A999, 0))</f>
        <v>/intake/new-patient/lin-grace</v>
      </c>
      <c r="I8" s="3" t="str">
        <f>H8 &amp; "/variants/" &amp; A8</f>
        <v>/intake/new-patient/lin-grace/variants/var-g-il23r</v>
      </c>
      <c r="J8" s="3" t="str">
        <f>INDEX(VariantTypes!B2:B999, MATCH(D8,VariantTypes!A2:A999, 0))</f>
        <v>Regulatory Variant</v>
      </c>
      <c r="K8" s="3" t="b">
        <f>INDEX(VariantTypes!C2:C999, MATCH(D8,VariantTypes!A2:A999, 0))</f>
        <v>1</v>
      </c>
      <c r="L8" s="3" t="str">
        <f>INDEX(Individuals!D2:D999, MATCH(C8,Individuals!A2:A999, 0))</f>
        <v>Indigenous American</v>
      </c>
      <c r="M8" s="3" t="b">
        <f>IF(E8 &lt; 0.01, TRUE(), FALSE())</f>
        <v>1</v>
      </c>
      <c r="N8" s="3" t="b">
        <f>IF(AND(OR(M8, K8), F8), TRUE(), FALSE())</f>
        <v>1</v>
      </c>
      <c r="O8" s="2" t="s">
        <v>225</v>
      </c>
    </row>
    <row r="9">
      <c r="A9" s="2" t="s">
        <v>227</v>
      </c>
      <c r="B9" s="2" t="s">
        <v>212</v>
      </c>
      <c r="C9" s="2" t="s">
        <v>177</v>
      </c>
      <c r="D9" s="2" t="s">
        <v>92</v>
      </c>
      <c r="E9" s="2">
        <v>0.006</v>
      </c>
      <c r="F9" s="2" t="b">
        <v>1</v>
      </c>
      <c r="G9" s="3" t="str">
        <f>B9</f>
        <v>IRF5 regulatory (rs2004640)</v>
      </c>
      <c r="H9" s="3" t="str">
        <f>INDEX(Individuals!L2:L999, MATCH(C9,Individuals!A2:A999, 0))</f>
        <v>/intake/new-patient/yamamoto-hana</v>
      </c>
      <c r="I9" s="3" t="str">
        <f>H9 &amp; "/variants/" &amp; A9</f>
        <v>/intake/new-patient/yamamoto-hana/variants/var-h-irf5</v>
      </c>
      <c r="J9" s="3" t="str">
        <f>INDEX(VariantTypes!B2:B999, MATCH(D9,VariantTypes!A2:A999, 0))</f>
        <v>Regulatory Variant</v>
      </c>
      <c r="K9" s="3" t="b">
        <f>INDEX(VariantTypes!C2:C999, MATCH(D9,VariantTypes!A2:A999, 0))</f>
        <v>1</v>
      </c>
      <c r="L9" s="3" t="str">
        <f>INDEX(Individuals!D2:D999, MATCH(C9,Individuals!A2:A999, 0))</f>
        <v>East Asian</v>
      </c>
      <c r="M9" s="3" t="b">
        <f>IF(E9 &lt; 0.01, TRUE(), FALSE())</f>
        <v>1</v>
      </c>
      <c r="N9" s="3" t="b">
        <f>IF(AND(OR(M9, K9), F9), TRUE(), FALSE())</f>
        <v>1</v>
      </c>
      <c r="O9" s="2" t="s">
        <v>213</v>
      </c>
    </row>
    <row r="10">
      <c r="A10" s="2" t="s">
        <v>228</v>
      </c>
      <c r="B10" s="2" t="s">
        <v>212</v>
      </c>
      <c r="C10" s="2" t="s">
        <v>181</v>
      </c>
      <c r="D10" s="2" t="s">
        <v>92</v>
      </c>
      <c r="E10" s="2">
        <v>0.006</v>
      </c>
      <c r="F10" s="2" t="b">
        <v>1</v>
      </c>
      <c r="G10" s="3" t="str">
        <f>B10</f>
        <v>IRF5 regulatory (rs2004640)</v>
      </c>
      <c r="H10" s="3" t="str">
        <f>INDEX(Individuals!L2:L999, MATCH(C10,Individuals!A2:A999, 0))</f>
        <v>/intake/new-patient/conteh-ibrahim</v>
      </c>
      <c r="I10" s="3" t="str">
        <f>H10 &amp; "/variants/" &amp; A10</f>
        <v>/intake/new-patient/conteh-ibrahim/variants/var-i-irf5</v>
      </c>
      <c r="J10" s="3" t="str">
        <f>INDEX(VariantTypes!B2:B999, MATCH(D10,VariantTypes!A2:A999, 0))</f>
        <v>Regulatory Variant</v>
      </c>
      <c r="K10" s="3" t="b">
        <f>INDEX(VariantTypes!C2:C999, MATCH(D10,VariantTypes!A2:A999, 0))</f>
        <v>1</v>
      </c>
      <c r="L10" s="3" t="str">
        <f>INDEX(Individuals!D2:D999, MATCH(C10,Individuals!A2:A999, 0))</f>
        <v>African</v>
      </c>
      <c r="M10" s="3" t="b">
        <f>IF(E10 &lt; 0.01, TRUE(), FALSE())</f>
        <v>1</v>
      </c>
      <c r="N10" s="3" t="b">
        <f>IF(AND(OR(M10, K10), F10), TRUE(), FALSE())</f>
        <v>1</v>
      </c>
      <c r="O10" s="2" t="s">
        <v>215</v>
      </c>
    </row>
    <row r="11">
      <c r="A11" s="2" t="s">
        <v>229</v>
      </c>
      <c r="B11" s="2" t="s">
        <v>212</v>
      </c>
      <c r="C11" s="2" t="s">
        <v>185</v>
      </c>
      <c r="D11" s="2" t="s">
        <v>92</v>
      </c>
      <c r="E11" s="2">
        <v>0.006</v>
      </c>
      <c r="F11" s="2" t="b">
        <v>1</v>
      </c>
      <c r="G11" s="3" t="str">
        <f>B11</f>
        <v>IRF5 regulatory (rs2004640)</v>
      </c>
      <c r="H11" s="3" t="str">
        <f>INDEX(Individuals!L2:L999, MATCH(C11,Individuals!A2:A999, 0))</f>
        <v>/intake/new-patient/brooks-jamal</v>
      </c>
      <c r="I11" s="3" t="str">
        <f>H11 &amp; "/variants/" &amp; A11</f>
        <v>/intake/new-patient/brooks-jamal/variants/var-j-irf5</v>
      </c>
      <c r="J11" s="3" t="str">
        <f>INDEX(VariantTypes!B2:B999, MATCH(D11,VariantTypes!A2:A999, 0))</f>
        <v>Regulatory Variant</v>
      </c>
      <c r="K11" s="3" t="b">
        <f>INDEX(VariantTypes!C2:C999, MATCH(D11,VariantTypes!A2:A999, 0))</f>
        <v>1</v>
      </c>
      <c r="L11" s="3" t="str">
        <f>INDEX(Individuals!D2:D999, MATCH(C11,Individuals!A2:A999, 0))</f>
        <v>Hispanic/Latino</v>
      </c>
      <c r="M11" s="3" t="b">
        <f>IF(E11 &lt; 0.01, TRUE(), FALSE())</f>
        <v>1</v>
      </c>
      <c r="N11" s="3" t="b">
        <f>IF(AND(OR(M11, K11), F11), TRUE(), FALSE())</f>
        <v>1</v>
      </c>
      <c r="O11" s="2" t="s">
        <v>215</v>
      </c>
    </row>
    <row r="12">
      <c r="A12" s="2" t="s">
        <v>230</v>
      </c>
      <c r="B12" s="2" t="s">
        <v>224</v>
      </c>
      <c r="C12" s="2" t="s">
        <v>190</v>
      </c>
      <c r="D12" s="2" t="s">
        <v>92</v>
      </c>
      <c r="E12" s="2">
        <v>0.009</v>
      </c>
      <c r="F12" s="2" t="b">
        <v>1</v>
      </c>
      <c r="G12" s="3" t="str">
        <f>B12</f>
        <v>IL23R regulatory (rs11209026)</v>
      </c>
      <c r="H12" s="3" t="str">
        <f>INDEX(Individuals!L2:L999, MATCH(C12,Individuals!A2:A999, 0))</f>
        <v>/intake/new-patient/nair-kavya</v>
      </c>
      <c r="I12" s="3" t="str">
        <f>H12 &amp; "/variants/" &amp; A12</f>
        <v>/intake/new-patient/nair-kavya/variants/var-k-il23r</v>
      </c>
      <c r="J12" s="3" t="str">
        <f>INDEX(VariantTypes!B2:B999, MATCH(D12,VariantTypes!A2:A999, 0))</f>
        <v>Regulatory Variant</v>
      </c>
      <c r="K12" s="3" t="b">
        <f>INDEX(VariantTypes!C2:C999, MATCH(D12,VariantTypes!A2:A999, 0))</f>
        <v>1</v>
      </c>
      <c r="L12" s="3" t="str">
        <f>INDEX(Individuals!D2:D999, MATCH(C12,Individuals!A2:A999, 0))</f>
        <v>South Asian</v>
      </c>
      <c r="M12" s="3" t="b">
        <f>IF(E12 &lt; 0.01, TRUE(), FALSE())</f>
        <v>1</v>
      </c>
      <c r="N12" s="3" t="b">
        <f>IF(AND(OR(M12, K12), F12), TRUE(), FALSE())</f>
        <v>1</v>
      </c>
      <c r="O12" s="2" t="s">
        <v>225</v>
      </c>
    </row>
    <row r="13">
      <c r="A13" s="2" t="s">
        <v>231</v>
      </c>
      <c r="B13" s="2" t="s">
        <v>224</v>
      </c>
      <c r="C13" s="2" t="s">
        <v>195</v>
      </c>
      <c r="D13" s="2" t="s">
        <v>92</v>
      </c>
      <c r="E13" s="2">
        <v>0.009</v>
      </c>
      <c r="F13" s="2" t="b">
        <v>1</v>
      </c>
      <c r="G13" s="3" t="str">
        <f>B13</f>
        <v>IL23R regulatory (rs11209026)</v>
      </c>
      <c r="H13" s="3" t="str">
        <f>INDEX(Individuals!L2:L999, MATCH(C13,Individuals!A2:A999, 0))</f>
        <v>/intake/new-patient/brandt-lena</v>
      </c>
      <c r="I13" s="3" t="str">
        <f>H13 &amp; "/variants/" &amp; A13</f>
        <v>/intake/new-patient/brandt-lena/variants/var-l-il23r</v>
      </c>
      <c r="J13" s="3" t="str">
        <f>INDEX(VariantTypes!B2:B999, MATCH(D13,VariantTypes!A2:A999, 0))</f>
        <v>Regulatory Variant</v>
      </c>
      <c r="K13" s="3" t="b">
        <f>INDEX(VariantTypes!C2:C999, MATCH(D13,VariantTypes!A2:A999, 0))</f>
        <v>1</v>
      </c>
      <c r="L13" s="3" t="str">
        <f>INDEX(Individuals!D2:D999, MATCH(C13,Individuals!A2:A999, 0))</f>
        <v>Indigenous American</v>
      </c>
      <c r="M13" s="3" t="b">
        <f>IF(E13 &lt; 0.01, TRUE(), FALSE())</f>
        <v>1</v>
      </c>
      <c r="N13" s="3" t="b">
        <f>IF(AND(OR(M13, K13), F13), TRUE(), FALSE())</f>
        <v>1</v>
      </c>
      <c r="O13" s="2" t="s">
        <v>225</v>
      </c>
    </row>
  </sheetData>
  <autoFilter ref="A1:O1"/>
  <headerFooter/>
  <legacyDrawing r:id="rId1"/>
</worksheet>
</file>

<file path=xl/worksheets/sheet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37"/>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17.443378448486328" customWidth="1"/>
    <col min="5" max="5" width="17.443378448486328" customWidth="1"/>
    <col min="6" max="6" width="18.099525451660156" customWidth="1"/>
    <col min="7" max="7" width="17.443378448486328" customWidth="1"/>
    <col min="8" max="8" width="24.33376693725586" customWidth="1"/>
    <col min="9" max="9" width="25.297395706176758" customWidth="1"/>
    <col min="10" max="10" width="17.443378448486328" customWidth="1"/>
    <col min="11" max="11" width="35.28116226196289" customWidth="1"/>
    <col min="12" max="12" width="55.10738754272461" customWidth="1"/>
    <col min="13" max="13" width="17.443378448486328" customWidth="1"/>
    <col min="14" max="14" width="17.443378448486328" customWidth="1"/>
    <col min="15" max="15" width="19.509838104248047" customWidth="1"/>
    <col min="16" max="16" width="19.50657844543457" customWidth="1"/>
    <col min="17" max="17" width="17.443378448486328" customWidth="1"/>
  </cols>
  <sheetData>
    <row r="1">
      <c r="A1" s="1" t="s">
        <v>232</v>
      </c>
      <c r="B1" s="1" t="s">
        <v>233</v>
      </c>
      <c r="C1" s="1" t="s">
        <v>201</v>
      </c>
      <c r="D1" s="1" t="s">
        <v>234</v>
      </c>
      <c r="E1" s="1" t="s">
        <v>235</v>
      </c>
      <c r="F1" s="1" t="s">
        <v>108</v>
      </c>
      <c r="G1" s="1" t="s">
        <v>236</v>
      </c>
      <c r="H1" s="1" t="s">
        <v>237</v>
      </c>
      <c r="I1" s="1" t="s">
        <v>238</v>
      </c>
      <c r="J1" s="1" t="s">
        <v>3</v>
      </c>
      <c r="K1" s="1" t="s">
        <v>23</v>
      </c>
      <c r="L1" s="1" t="s">
        <v>4</v>
      </c>
      <c r="M1" s="1" t="s">
        <v>50</v>
      </c>
      <c r="N1" s="1" t="s">
        <v>36</v>
      </c>
      <c r="O1" s="1" t="s">
        <v>239</v>
      </c>
      <c r="P1" s="1" t="s">
        <v>240</v>
      </c>
      <c r="Q1" s="1" t="s">
        <v>241</v>
      </c>
    </row>
    <row r="2">
      <c r="A2" s="2" t="s">
        <v>242</v>
      </c>
      <c r="B2" s="2" t="s">
        <v>242</v>
      </c>
      <c r="C2" s="2" t="s">
        <v>145</v>
      </c>
      <c r="D2" s="2" t="s">
        <v>54</v>
      </c>
      <c r="E2" s="2" t="s">
        <v>39</v>
      </c>
      <c r="F2" s="2" t="s">
        <v>243</v>
      </c>
      <c r="G2" s="2" t="s">
        <v>244</v>
      </c>
      <c r="H2" s="2">
        <v>0.05</v>
      </c>
      <c r="I2" s="2" t="b">
        <v>1</v>
      </c>
      <c r="J2" s="3" t="str">
        <f>B2</f>
        <v>assay-a-rna</v>
      </c>
      <c r="K2" s="3" t="str">
        <f>INDEX(Individuals!L2:L999, MATCH(C2,Individuals!A2:A999, 0))</f>
        <v>/intake/new-patient/reyes-ana</v>
      </c>
      <c r="L2" s="3" t="str">
        <f>K2 &amp; "/assays/" &amp; A2</f>
        <v>/intake/new-patient/reyes-ana/assays/assay-a-rna</v>
      </c>
      <c r="M2" s="3" t="str">
        <f>INDEX(OmicsModalities!B2:B999, MATCH(D2,OmicsModalities!A2:A999, 0))</f>
        <v>RNA-seq</v>
      </c>
      <c r="N2" s="3" t="str">
        <f>IF(E2 = "", "Missing Tissue", INDEX(Tissues!B2:B999, MATCH(E2,Tissues!A2:A999, 0)))</f>
        <v>Blood</v>
      </c>
      <c r="O2" s="3" t="b">
        <f>IF(H2 &gt; 0.3, TRUE(), FALSE())</f>
        <v>0</v>
      </c>
      <c r="P2" s="3" t="b">
        <f>IF(AND(NOT(O2), H2 &lt; 0.15), TRUE(), FALSE())</f>
        <v>1</v>
      </c>
      <c r="Q2" s="2"/>
    </row>
    <row r="3">
      <c r="A3" s="2" t="s">
        <v>245</v>
      </c>
      <c r="B3" s="2" t="s">
        <v>245</v>
      </c>
      <c r="C3" s="2" t="s">
        <v>145</v>
      </c>
      <c r="D3" s="2" t="s">
        <v>58</v>
      </c>
      <c r="E3" s="2" t="s">
        <v>39</v>
      </c>
      <c r="F3" s="2" t="s">
        <v>243</v>
      </c>
      <c r="G3" s="2" t="s">
        <v>244</v>
      </c>
      <c r="H3" s="2">
        <v>0.05</v>
      </c>
      <c r="I3" s="2" t="b">
        <v>1</v>
      </c>
      <c r="J3" s="3" t="str">
        <f>B3</f>
        <v>assay-a-atac</v>
      </c>
      <c r="K3" s="3" t="str">
        <f>INDEX(Individuals!L2:L999, MATCH(C3,Individuals!A2:A999, 0))</f>
        <v>/intake/new-patient/reyes-ana</v>
      </c>
      <c r="L3" s="3" t="str">
        <f>K3 &amp; "/assays/" &amp; A3</f>
        <v>/intake/new-patient/reyes-ana/assays/assay-a-atac</v>
      </c>
      <c r="M3" s="3" t="str">
        <f>INDEX(OmicsModalities!B2:B999, MATCH(D3,OmicsModalities!A2:A999, 0))</f>
        <v>ATAC-seq</v>
      </c>
      <c r="N3" s="3" t="str">
        <f>IF(E3 = "", "Missing Tissue", INDEX(Tissues!B2:B999, MATCH(E3,Tissues!A2:A999, 0)))</f>
        <v>Blood</v>
      </c>
      <c r="O3" s="3" t="b">
        <f>IF(H3 &gt; 0.3, TRUE(), FALSE())</f>
        <v>0</v>
      </c>
      <c r="P3" s="3" t="b">
        <f>IF(AND(NOT(O3), H3 &lt; 0.15), TRUE(), FALSE())</f>
        <v>1</v>
      </c>
      <c r="Q3" s="2"/>
    </row>
    <row r="4">
      <c r="A4" s="2" t="s">
        <v>246</v>
      </c>
      <c r="B4" s="2" t="s">
        <v>246</v>
      </c>
      <c r="C4" s="2" t="s">
        <v>145</v>
      </c>
      <c r="D4" s="2" t="s">
        <v>60</v>
      </c>
      <c r="E4" s="2" t="s">
        <v>39</v>
      </c>
      <c r="F4" s="2" t="s">
        <v>243</v>
      </c>
      <c r="G4" s="2" t="s">
        <v>244</v>
      </c>
      <c r="H4" s="2">
        <v>0.05</v>
      </c>
      <c r="I4" s="2" t="b">
        <v>1</v>
      </c>
      <c r="J4" s="3" t="str">
        <f>B4</f>
        <v>assay-a-prot</v>
      </c>
      <c r="K4" s="3" t="str">
        <f>INDEX(Individuals!L2:L999, MATCH(C4,Individuals!A2:A999, 0))</f>
        <v>/intake/new-patient/reyes-ana</v>
      </c>
      <c r="L4" s="3" t="str">
        <f>K4 &amp; "/assays/" &amp; A4</f>
        <v>/intake/new-patient/reyes-ana/assays/assay-a-prot</v>
      </c>
      <c r="M4" s="3" t="str">
        <f>INDEX(OmicsModalities!B2:B999, MATCH(D4,OmicsModalities!A2:A999, 0))</f>
        <v>Proteomics</v>
      </c>
      <c r="N4" s="3" t="str">
        <f>IF(E4 = "", "Missing Tissue", INDEX(Tissues!B2:B999, MATCH(E4,Tissues!A2:A999, 0)))</f>
        <v>Blood</v>
      </c>
      <c r="O4" s="3" t="b">
        <f>IF(H4 &gt; 0.3, TRUE(), FALSE())</f>
        <v>0</v>
      </c>
      <c r="P4" s="3" t="b">
        <f>IF(AND(NOT(O4), H4 &lt; 0.15), TRUE(), FALSE())</f>
        <v>1</v>
      </c>
      <c r="Q4" s="2"/>
    </row>
    <row r="5">
      <c r="A5" s="2" t="s">
        <v>247</v>
      </c>
      <c r="B5" s="2" t="s">
        <v>247</v>
      </c>
      <c r="C5" s="2" t="s">
        <v>150</v>
      </c>
      <c r="D5" s="2" t="s">
        <v>54</v>
      </c>
      <c r="E5" s="2" t="s">
        <v>39</v>
      </c>
      <c r="F5" s="2" t="s">
        <v>243</v>
      </c>
      <c r="G5" s="2" t="s">
        <v>244</v>
      </c>
      <c r="H5" s="2">
        <v>0.05</v>
      </c>
      <c r="I5" s="2" t="b">
        <v>1</v>
      </c>
      <c r="J5" s="3" t="str">
        <f>B5</f>
        <v>assay-b-rna</v>
      </c>
      <c r="K5" s="3" t="str">
        <f>INDEX(Individuals!L2:L999, MATCH(C5,Individuals!A2:A999, 0))</f>
        <v>/intake/new-patient/okafor-bili</v>
      </c>
      <c r="L5" s="3" t="str">
        <f>K5 &amp; "/assays/" &amp; A5</f>
        <v>/intake/new-patient/okafor-bili/assays/assay-b-rna</v>
      </c>
      <c r="M5" s="3" t="str">
        <f>INDEX(OmicsModalities!B2:B999, MATCH(D5,OmicsModalities!A2:A999, 0))</f>
        <v>RNA-seq</v>
      </c>
      <c r="N5" s="3" t="str">
        <f>IF(E5 = "", "Missing Tissue", INDEX(Tissues!B2:B999, MATCH(E5,Tissues!A2:A999, 0)))</f>
        <v>Blood</v>
      </c>
      <c r="O5" s="3" t="b">
        <f>IF(H5 &gt; 0.3, TRUE(), FALSE())</f>
        <v>0</v>
      </c>
      <c r="P5" s="3" t="b">
        <f>IF(AND(NOT(O5), H5 &lt; 0.15), TRUE(), FALSE())</f>
        <v>1</v>
      </c>
      <c r="Q5" s="2"/>
    </row>
    <row r="6">
      <c r="A6" s="2" t="s">
        <v>248</v>
      </c>
      <c r="B6" s="2" t="s">
        <v>248</v>
      </c>
      <c r="C6" s="2" t="s">
        <v>150</v>
      </c>
      <c r="D6" s="2" t="s">
        <v>58</v>
      </c>
      <c r="E6" s="2" t="s">
        <v>39</v>
      </c>
      <c r="F6" s="2" t="s">
        <v>243</v>
      </c>
      <c r="G6" s="2" t="s">
        <v>244</v>
      </c>
      <c r="H6" s="2">
        <v>0.05</v>
      </c>
      <c r="I6" s="2" t="b">
        <v>1</v>
      </c>
      <c r="J6" s="3" t="str">
        <f>B6</f>
        <v>assay-b-atac</v>
      </c>
      <c r="K6" s="3" t="str">
        <f>INDEX(Individuals!L2:L999, MATCH(C6,Individuals!A2:A999, 0))</f>
        <v>/intake/new-patient/okafor-bili</v>
      </c>
      <c r="L6" s="3" t="str">
        <f>K6 &amp; "/assays/" &amp; A6</f>
        <v>/intake/new-patient/okafor-bili/assays/assay-b-atac</v>
      </c>
      <c r="M6" s="3" t="str">
        <f>INDEX(OmicsModalities!B2:B999, MATCH(D6,OmicsModalities!A2:A999, 0))</f>
        <v>ATAC-seq</v>
      </c>
      <c r="N6" s="3" t="str">
        <f>IF(E6 = "", "Missing Tissue", INDEX(Tissues!B2:B999, MATCH(E6,Tissues!A2:A999, 0)))</f>
        <v>Blood</v>
      </c>
      <c r="O6" s="3" t="b">
        <f>IF(H6 &gt; 0.3, TRUE(), FALSE())</f>
        <v>0</v>
      </c>
      <c r="P6" s="3" t="b">
        <f>IF(AND(NOT(O6), H6 &lt; 0.15), TRUE(), FALSE())</f>
        <v>1</v>
      </c>
      <c r="Q6" s="2"/>
    </row>
    <row r="7">
      <c r="A7" s="2" t="s">
        <v>249</v>
      </c>
      <c r="B7" s="2" t="s">
        <v>249</v>
      </c>
      <c r="C7" s="2" t="s">
        <v>150</v>
      </c>
      <c r="D7" s="2" t="s">
        <v>60</v>
      </c>
      <c r="E7" s="2" t="s">
        <v>39</v>
      </c>
      <c r="F7" s="2" t="s">
        <v>243</v>
      </c>
      <c r="G7" s="2" t="s">
        <v>244</v>
      </c>
      <c r="H7" s="2">
        <v>0.05</v>
      </c>
      <c r="I7" s="2" t="b">
        <v>1</v>
      </c>
      <c r="J7" s="3" t="str">
        <f>B7</f>
        <v>assay-b-prot</v>
      </c>
      <c r="K7" s="3" t="str">
        <f>INDEX(Individuals!L2:L999, MATCH(C7,Individuals!A2:A999, 0))</f>
        <v>/intake/new-patient/okafor-bili</v>
      </c>
      <c r="L7" s="3" t="str">
        <f>K7 &amp; "/assays/" &amp; A7</f>
        <v>/intake/new-patient/okafor-bili/assays/assay-b-prot</v>
      </c>
      <c r="M7" s="3" t="str">
        <f>INDEX(OmicsModalities!B2:B999, MATCH(D7,OmicsModalities!A2:A999, 0))</f>
        <v>Proteomics</v>
      </c>
      <c r="N7" s="3" t="str">
        <f>IF(E7 = "", "Missing Tissue", INDEX(Tissues!B2:B999, MATCH(E7,Tissues!A2:A999, 0)))</f>
        <v>Blood</v>
      </c>
      <c r="O7" s="3" t="b">
        <f>IF(H7 &gt; 0.3, TRUE(), FALSE())</f>
        <v>0</v>
      </c>
      <c r="P7" s="3" t="b">
        <f>IF(AND(NOT(O7), H7 &lt; 0.15), TRUE(), FALSE())</f>
        <v>1</v>
      </c>
      <c r="Q7" s="2"/>
    </row>
    <row r="8">
      <c r="A8" s="2" t="s">
        <v>250</v>
      </c>
      <c r="B8" s="2" t="s">
        <v>250</v>
      </c>
      <c r="C8" s="2" t="s">
        <v>154</v>
      </c>
      <c r="D8" s="2" t="s">
        <v>54</v>
      </c>
      <c r="E8" s="2" t="s">
        <v>39</v>
      </c>
      <c r="F8" s="2" t="s">
        <v>243</v>
      </c>
      <c r="G8" s="2" t="s">
        <v>244</v>
      </c>
      <c r="H8" s="2">
        <v>0.05</v>
      </c>
      <c r="I8" s="2" t="b">
        <v>1</v>
      </c>
      <c r="J8" s="3" t="str">
        <f>B8</f>
        <v>assay-c-rna</v>
      </c>
      <c r="K8" s="3" t="str">
        <f>INDEX(Individuals!L2:L999, MATCH(C8,Individuals!A2:A999, 0))</f>
        <v>/intake/new-patient/wei-chen</v>
      </c>
      <c r="L8" s="3" t="str">
        <f>K8 &amp; "/assays/" &amp; A8</f>
        <v>/intake/new-patient/wei-chen/assays/assay-c-rna</v>
      </c>
      <c r="M8" s="3" t="str">
        <f>INDEX(OmicsModalities!B2:B999, MATCH(D8,OmicsModalities!A2:A999, 0))</f>
        <v>RNA-seq</v>
      </c>
      <c r="N8" s="3" t="str">
        <f>IF(E8 = "", "Missing Tissue", INDEX(Tissues!B2:B999, MATCH(E8,Tissues!A2:A999, 0)))</f>
        <v>Blood</v>
      </c>
      <c r="O8" s="3" t="b">
        <f>IF(H8 &gt; 0.3, TRUE(), FALSE())</f>
        <v>0</v>
      </c>
      <c r="P8" s="3" t="b">
        <f>IF(AND(NOT(O8), H8 &lt; 0.15), TRUE(), FALSE())</f>
        <v>1</v>
      </c>
      <c r="Q8" s="2"/>
    </row>
    <row r="9">
      <c r="A9" s="2" t="s">
        <v>251</v>
      </c>
      <c r="B9" s="2" t="s">
        <v>251</v>
      </c>
      <c r="C9" s="2" t="s">
        <v>154</v>
      </c>
      <c r="D9" s="2" t="s">
        <v>58</v>
      </c>
      <c r="E9" s="2" t="s">
        <v>39</v>
      </c>
      <c r="F9" s="2" t="s">
        <v>243</v>
      </c>
      <c r="G9" s="2" t="s">
        <v>244</v>
      </c>
      <c r="H9" s="2">
        <v>0.05</v>
      </c>
      <c r="I9" s="2" t="b">
        <v>1</v>
      </c>
      <c r="J9" s="3" t="str">
        <f>B9</f>
        <v>assay-c-atac</v>
      </c>
      <c r="K9" s="3" t="str">
        <f>INDEX(Individuals!L2:L999, MATCH(C9,Individuals!A2:A999, 0))</f>
        <v>/intake/new-patient/wei-chen</v>
      </c>
      <c r="L9" s="3" t="str">
        <f>K9 &amp; "/assays/" &amp; A9</f>
        <v>/intake/new-patient/wei-chen/assays/assay-c-atac</v>
      </c>
      <c r="M9" s="3" t="str">
        <f>INDEX(OmicsModalities!B2:B999, MATCH(D9,OmicsModalities!A2:A999, 0))</f>
        <v>ATAC-seq</v>
      </c>
      <c r="N9" s="3" t="str">
        <f>IF(E9 = "", "Missing Tissue", INDEX(Tissues!B2:B999, MATCH(E9,Tissues!A2:A999, 0)))</f>
        <v>Blood</v>
      </c>
      <c r="O9" s="3" t="b">
        <f>IF(H9 &gt; 0.3, TRUE(), FALSE())</f>
        <v>0</v>
      </c>
      <c r="P9" s="3" t="b">
        <f>IF(AND(NOT(O9), H9 &lt; 0.15), TRUE(), FALSE())</f>
        <v>1</v>
      </c>
      <c r="Q9" s="2"/>
    </row>
    <row r="10">
      <c r="A10" s="2" t="s">
        <v>252</v>
      </c>
      <c r="B10" s="2" t="s">
        <v>252</v>
      </c>
      <c r="C10" s="2" t="s">
        <v>154</v>
      </c>
      <c r="D10" s="2" t="s">
        <v>60</v>
      </c>
      <c r="E10" s="2" t="s">
        <v>39</v>
      </c>
      <c r="F10" s="2" t="s">
        <v>243</v>
      </c>
      <c r="G10" s="2" t="s">
        <v>244</v>
      </c>
      <c r="H10" s="2">
        <v>0.05</v>
      </c>
      <c r="I10" s="2" t="b">
        <v>1</v>
      </c>
      <c r="J10" s="3" t="str">
        <f>B10</f>
        <v>assay-c-prot</v>
      </c>
      <c r="K10" s="3" t="str">
        <f>INDEX(Individuals!L2:L999, MATCH(C10,Individuals!A2:A999, 0))</f>
        <v>/intake/new-patient/wei-chen</v>
      </c>
      <c r="L10" s="3" t="str">
        <f>K10 &amp; "/assays/" &amp; A10</f>
        <v>/intake/new-patient/wei-chen/assays/assay-c-prot</v>
      </c>
      <c r="M10" s="3" t="str">
        <f>INDEX(OmicsModalities!B2:B999, MATCH(D10,OmicsModalities!A2:A999, 0))</f>
        <v>Proteomics</v>
      </c>
      <c r="N10" s="3" t="str">
        <f>IF(E10 = "", "Missing Tissue", INDEX(Tissues!B2:B999, MATCH(E10,Tissues!A2:A999, 0)))</f>
        <v>Blood</v>
      </c>
      <c r="O10" s="3" t="b">
        <f>IF(H10 &gt; 0.3, TRUE(), FALSE())</f>
        <v>0</v>
      </c>
      <c r="P10" s="3" t="b">
        <f>IF(AND(NOT(O10), H10 &lt; 0.15), TRUE(), FALSE())</f>
        <v>1</v>
      </c>
      <c r="Q10" s="2"/>
    </row>
    <row r="11">
      <c r="A11" s="2" t="s">
        <v>253</v>
      </c>
      <c r="B11" s="2" t="s">
        <v>253</v>
      </c>
      <c r="C11" s="2" t="s">
        <v>159</v>
      </c>
      <c r="D11" s="2" t="s">
        <v>54</v>
      </c>
      <c r="E11" s="2" t="s">
        <v>39</v>
      </c>
      <c r="F11" s="2" t="s">
        <v>243</v>
      </c>
      <c r="G11" s="2" t="s">
        <v>244</v>
      </c>
      <c r="H11" s="2">
        <v>0.05</v>
      </c>
      <c r="I11" s="2" t="b">
        <v>1</v>
      </c>
      <c r="J11" s="3" t="str">
        <f>B11</f>
        <v>assay-d-rna</v>
      </c>
      <c r="K11" s="3" t="str">
        <f>INDEX(Individuals!L2:L999, MATCH(C11,Individuals!A2:A999, 0))</f>
        <v>/intake/new-patient/santos-diego</v>
      </c>
      <c r="L11" s="3" t="str">
        <f>K11 &amp; "/assays/" &amp; A11</f>
        <v>/intake/new-patient/santos-diego/assays/assay-d-rna</v>
      </c>
      <c r="M11" s="3" t="str">
        <f>INDEX(OmicsModalities!B2:B999, MATCH(D11,OmicsModalities!A2:A999, 0))</f>
        <v>RNA-seq</v>
      </c>
      <c r="N11" s="3" t="str">
        <f>IF(E11 = "", "Missing Tissue", INDEX(Tissues!B2:B999, MATCH(E11,Tissues!A2:A999, 0)))</f>
        <v>Blood</v>
      </c>
      <c r="O11" s="3" t="b">
        <f>IF(H11 &gt; 0.3, TRUE(), FALSE())</f>
        <v>0</v>
      </c>
      <c r="P11" s="3" t="b">
        <f>IF(AND(NOT(O11), H11 &lt; 0.15), TRUE(), FALSE())</f>
        <v>1</v>
      </c>
      <c r="Q11" s="2"/>
    </row>
    <row r="12">
      <c r="A12" s="2" t="s">
        <v>254</v>
      </c>
      <c r="B12" s="2" t="s">
        <v>254</v>
      </c>
      <c r="C12" s="2" t="s">
        <v>159</v>
      </c>
      <c r="D12" s="2" t="s">
        <v>58</v>
      </c>
      <c r="E12" s="2" t="s">
        <v>39</v>
      </c>
      <c r="F12" s="2" t="s">
        <v>243</v>
      </c>
      <c r="G12" s="2" t="s">
        <v>244</v>
      </c>
      <c r="H12" s="2">
        <v>0.05</v>
      </c>
      <c r="I12" s="2" t="b">
        <v>1</v>
      </c>
      <c r="J12" s="3" t="str">
        <f>B12</f>
        <v>assay-d-atac</v>
      </c>
      <c r="K12" s="3" t="str">
        <f>INDEX(Individuals!L2:L999, MATCH(C12,Individuals!A2:A999, 0))</f>
        <v>/intake/new-patient/santos-diego</v>
      </c>
      <c r="L12" s="3" t="str">
        <f>K12 &amp; "/assays/" &amp; A12</f>
        <v>/intake/new-patient/santos-diego/assays/assay-d-atac</v>
      </c>
      <c r="M12" s="3" t="str">
        <f>INDEX(OmicsModalities!B2:B999, MATCH(D12,OmicsModalities!A2:A999, 0))</f>
        <v>ATAC-seq</v>
      </c>
      <c r="N12" s="3" t="str">
        <f>IF(E12 = "", "Missing Tissue", INDEX(Tissues!B2:B999, MATCH(E12,Tissues!A2:A999, 0)))</f>
        <v>Blood</v>
      </c>
      <c r="O12" s="3" t="b">
        <f>IF(H12 &gt; 0.3, TRUE(), FALSE())</f>
        <v>0</v>
      </c>
      <c r="P12" s="3" t="b">
        <f>IF(AND(NOT(O12), H12 &lt; 0.15), TRUE(), FALSE())</f>
        <v>1</v>
      </c>
      <c r="Q12" s="2"/>
    </row>
    <row r="13">
      <c r="A13" s="2" t="s">
        <v>255</v>
      </c>
      <c r="B13" s="2" t="s">
        <v>255</v>
      </c>
      <c r="C13" s="2" t="s">
        <v>159</v>
      </c>
      <c r="D13" s="2" t="s">
        <v>60</v>
      </c>
      <c r="E13" s="2" t="s">
        <v>39</v>
      </c>
      <c r="F13" s="2" t="s">
        <v>243</v>
      </c>
      <c r="G13" s="2" t="s">
        <v>244</v>
      </c>
      <c r="H13" s="2">
        <v>0.05</v>
      </c>
      <c r="I13" s="2" t="b">
        <v>1</v>
      </c>
      <c r="J13" s="3" t="str">
        <f>B13</f>
        <v>assay-d-prot</v>
      </c>
      <c r="K13" s="3" t="str">
        <f>INDEX(Individuals!L2:L999, MATCH(C13,Individuals!A2:A999, 0))</f>
        <v>/intake/new-patient/santos-diego</v>
      </c>
      <c r="L13" s="3" t="str">
        <f>K13 &amp; "/assays/" &amp; A13</f>
        <v>/intake/new-patient/santos-diego/assays/assay-d-prot</v>
      </c>
      <c r="M13" s="3" t="str">
        <f>INDEX(OmicsModalities!B2:B999, MATCH(D13,OmicsModalities!A2:A999, 0))</f>
        <v>Proteomics</v>
      </c>
      <c r="N13" s="3" t="str">
        <f>IF(E13 = "", "Missing Tissue", INDEX(Tissues!B2:B999, MATCH(E13,Tissues!A2:A999, 0)))</f>
        <v>Blood</v>
      </c>
      <c r="O13" s="3" t="b">
        <f>IF(H13 &gt; 0.3, TRUE(), FALSE())</f>
        <v>0</v>
      </c>
      <c r="P13" s="3" t="b">
        <f>IF(AND(NOT(O13), H13 &lt; 0.15), TRUE(), FALSE())</f>
        <v>1</v>
      </c>
      <c r="Q13" s="2"/>
    </row>
    <row r="14">
      <c r="A14" s="2" t="s">
        <v>256</v>
      </c>
      <c r="B14" s="2" t="s">
        <v>256</v>
      </c>
      <c r="C14" s="2" t="s">
        <v>163</v>
      </c>
      <c r="D14" s="2" t="s">
        <v>54</v>
      </c>
      <c r="E14" s="2" t="s">
        <v>39</v>
      </c>
      <c r="F14" s="2" t="s">
        <v>243</v>
      </c>
      <c r="G14" s="2" t="s">
        <v>244</v>
      </c>
      <c r="H14" s="2">
        <v>0.05</v>
      </c>
      <c r="I14" s="2" t="b">
        <v>1</v>
      </c>
      <c r="J14" s="3" t="str">
        <f>B14</f>
        <v>assay-e-rna</v>
      </c>
      <c r="K14" s="3" t="str">
        <f>INDEX(Individuals!L2:L999, MATCH(C14,Individuals!A2:A999, 0))</f>
        <v>/intake/new-patient/mensah-esi</v>
      </c>
      <c r="L14" s="3" t="str">
        <f>K14 &amp; "/assays/" &amp; A14</f>
        <v>/intake/new-patient/mensah-esi/assays/assay-e-rna</v>
      </c>
      <c r="M14" s="3" t="str">
        <f>INDEX(OmicsModalities!B2:B999, MATCH(D14,OmicsModalities!A2:A999, 0))</f>
        <v>RNA-seq</v>
      </c>
      <c r="N14" s="3" t="str">
        <f>IF(E14 = "", "Missing Tissue", INDEX(Tissues!B2:B999, MATCH(E14,Tissues!A2:A999, 0)))</f>
        <v>Blood</v>
      </c>
      <c r="O14" s="3" t="b">
        <f>IF(H14 &gt; 0.3, TRUE(), FALSE())</f>
        <v>0</v>
      </c>
      <c r="P14" s="3" t="b">
        <f>IF(AND(NOT(O14), H14 &lt; 0.15), TRUE(), FALSE())</f>
        <v>1</v>
      </c>
      <c r="Q14" s="2"/>
    </row>
    <row r="15">
      <c r="A15" s="2" t="s">
        <v>257</v>
      </c>
      <c r="B15" s="2" t="s">
        <v>257</v>
      </c>
      <c r="C15" s="2" t="s">
        <v>163</v>
      </c>
      <c r="D15" s="2" t="s">
        <v>58</v>
      </c>
      <c r="E15" s="2" t="s">
        <v>39</v>
      </c>
      <c r="F15" s="2" t="s">
        <v>243</v>
      </c>
      <c r="G15" s="2" t="s">
        <v>244</v>
      </c>
      <c r="H15" s="2">
        <v>0.05</v>
      </c>
      <c r="I15" s="2" t="b">
        <v>1</v>
      </c>
      <c r="J15" s="3" t="str">
        <f>B15</f>
        <v>assay-e-atac</v>
      </c>
      <c r="K15" s="3" t="str">
        <f>INDEX(Individuals!L2:L999, MATCH(C15,Individuals!A2:A999, 0))</f>
        <v>/intake/new-patient/mensah-esi</v>
      </c>
      <c r="L15" s="3" t="str">
        <f>K15 &amp; "/assays/" &amp; A15</f>
        <v>/intake/new-patient/mensah-esi/assays/assay-e-atac</v>
      </c>
      <c r="M15" s="3" t="str">
        <f>INDEX(OmicsModalities!B2:B999, MATCH(D15,OmicsModalities!A2:A999, 0))</f>
        <v>ATAC-seq</v>
      </c>
      <c r="N15" s="3" t="str">
        <f>IF(E15 = "", "Missing Tissue", INDEX(Tissues!B2:B999, MATCH(E15,Tissues!A2:A999, 0)))</f>
        <v>Blood</v>
      </c>
      <c r="O15" s="3" t="b">
        <f>IF(H15 &gt; 0.3, TRUE(), FALSE())</f>
        <v>0</v>
      </c>
      <c r="P15" s="3" t="b">
        <f>IF(AND(NOT(O15), H15 &lt; 0.15), TRUE(), FALSE())</f>
        <v>1</v>
      </c>
      <c r="Q15" s="2"/>
    </row>
    <row r="16">
      <c r="A16" s="2" t="s">
        <v>258</v>
      </c>
      <c r="B16" s="2" t="s">
        <v>258</v>
      </c>
      <c r="C16" s="2" t="s">
        <v>163</v>
      </c>
      <c r="D16" s="2" t="s">
        <v>60</v>
      </c>
      <c r="E16" s="2" t="s">
        <v>39</v>
      </c>
      <c r="F16" s="2" t="s">
        <v>243</v>
      </c>
      <c r="G16" s="2" t="s">
        <v>244</v>
      </c>
      <c r="H16" s="2">
        <v>0.05</v>
      </c>
      <c r="I16" s="2" t="b">
        <v>1</v>
      </c>
      <c r="J16" s="3" t="str">
        <f>B16</f>
        <v>assay-e-prot</v>
      </c>
      <c r="K16" s="3" t="str">
        <f>INDEX(Individuals!L2:L999, MATCH(C16,Individuals!A2:A999, 0))</f>
        <v>/intake/new-patient/mensah-esi</v>
      </c>
      <c r="L16" s="3" t="str">
        <f>K16 &amp; "/assays/" &amp; A16</f>
        <v>/intake/new-patient/mensah-esi/assays/assay-e-prot</v>
      </c>
      <c r="M16" s="3" t="str">
        <f>INDEX(OmicsModalities!B2:B999, MATCH(D16,OmicsModalities!A2:A999, 0))</f>
        <v>Proteomics</v>
      </c>
      <c r="N16" s="3" t="str">
        <f>IF(E16 = "", "Missing Tissue", INDEX(Tissues!B2:B999, MATCH(E16,Tissues!A2:A999, 0)))</f>
        <v>Blood</v>
      </c>
      <c r="O16" s="3" t="b">
        <f>IF(H16 &gt; 0.3, TRUE(), FALSE())</f>
        <v>0</v>
      </c>
      <c r="P16" s="3" t="b">
        <f>IF(AND(NOT(O16), H16 &lt; 0.15), TRUE(), FALSE())</f>
        <v>1</v>
      </c>
      <c r="Q16" s="2"/>
    </row>
    <row r="17">
      <c r="A17" s="2" t="s">
        <v>259</v>
      </c>
      <c r="B17" s="2" t="s">
        <v>259</v>
      </c>
      <c r="C17" s="2" t="s">
        <v>168</v>
      </c>
      <c r="D17" s="2" t="s">
        <v>54</v>
      </c>
      <c r="E17" s="2" t="s">
        <v>39</v>
      </c>
      <c r="F17" s="2" t="s">
        <v>243</v>
      </c>
      <c r="G17" s="2" t="s">
        <v>244</v>
      </c>
      <c r="H17" s="2">
        <v>0.05</v>
      </c>
      <c r="I17" s="2" t="b">
        <v>1</v>
      </c>
      <c r="J17" s="3" t="str">
        <f>B17</f>
        <v>assay-f-rna</v>
      </c>
      <c r="K17" s="3" t="str">
        <f>INDEX(Individuals!L2:L999, MATCH(C17,Individuals!A2:A999, 0))</f>
        <v>/intake/new-patient/haidar-faisal</v>
      </c>
      <c r="L17" s="3" t="str">
        <f>K17 &amp; "/assays/" &amp; A17</f>
        <v>/intake/new-patient/haidar-faisal/assays/assay-f-rna</v>
      </c>
      <c r="M17" s="3" t="str">
        <f>INDEX(OmicsModalities!B2:B999, MATCH(D17,OmicsModalities!A2:A999, 0))</f>
        <v>RNA-seq</v>
      </c>
      <c r="N17" s="3" t="str">
        <f>IF(E17 = "", "Missing Tissue", INDEX(Tissues!B2:B999, MATCH(E17,Tissues!A2:A999, 0)))</f>
        <v>Blood</v>
      </c>
      <c r="O17" s="3" t="b">
        <f>IF(H17 &gt; 0.3, TRUE(), FALSE())</f>
        <v>0</v>
      </c>
      <c r="P17" s="3" t="b">
        <f>IF(AND(NOT(O17), H17 &lt; 0.15), TRUE(), FALSE())</f>
        <v>1</v>
      </c>
      <c r="Q17" s="2"/>
    </row>
    <row r="18">
      <c r="A18" s="2" t="s">
        <v>260</v>
      </c>
      <c r="B18" s="2" t="s">
        <v>260</v>
      </c>
      <c r="C18" s="2" t="s">
        <v>168</v>
      </c>
      <c r="D18" s="2" t="s">
        <v>58</v>
      </c>
      <c r="E18" s="2" t="s">
        <v>39</v>
      </c>
      <c r="F18" s="2" t="s">
        <v>243</v>
      </c>
      <c r="G18" s="2" t="s">
        <v>244</v>
      </c>
      <c r="H18" s="2">
        <v>0.05</v>
      </c>
      <c r="I18" s="2" t="b">
        <v>1</v>
      </c>
      <c r="J18" s="3" t="str">
        <f>B18</f>
        <v>assay-f-atac</v>
      </c>
      <c r="K18" s="3" t="str">
        <f>INDEX(Individuals!L2:L999, MATCH(C18,Individuals!A2:A999, 0))</f>
        <v>/intake/new-patient/haidar-faisal</v>
      </c>
      <c r="L18" s="3" t="str">
        <f>K18 &amp; "/assays/" &amp; A18</f>
        <v>/intake/new-patient/haidar-faisal/assays/assay-f-atac</v>
      </c>
      <c r="M18" s="3" t="str">
        <f>INDEX(OmicsModalities!B2:B999, MATCH(D18,OmicsModalities!A2:A999, 0))</f>
        <v>ATAC-seq</v>
      </c>
      <c r="N18" s="3" t="str">
        <f>IF(E18 = "", "Missing Tissue", INDEX(Tissues!B2:B999, MATCH(E18,Tissues!A2:A999, 0)))</f>
        <v>Blood</v>
      </c>
      <c r="O18" s="3" t="b">
        <f>IF(H18 &gt; 0.3, TRUE(), FALSE())</f>
        <v>0</v>
      </c>
      <c r="P18" s="3" t="b">
        <f>IF(AND(NOT(O18), H18 &lt; 0.15), TRUE(), FALSE())</f>
        <v>1</v>
      </c>
      <c r="Q18" s="2"/>
    </row>
    <row r="19">
      <c r="A19" s="2" t="s">
        <v>261</v>
      </c>
      <c r="B19" s="2" t="s">
        <v>261</v>
      </c>
      <c r="C19" s="2" t="s">
        <v>168</v>
      </c>
      <c r="D19" s="2" t="s">
        <v>60</v>
      </c>
      <c r="E19" s="2" t="s">
        <v>39</v>
      </c>
      <c r="F19" s="2" t="s">
        <v>243</v>
      </c>
      <c r="G19" s="2" t="s">
        <v>244</v>
      </c>
      <c r="H19" s="2">
        <v>0.05</v>
      </c>
      <c r="I19" s="2" t="b">
        <v>1</v>
      </c>
      <c r="J19" s="3" t="str">
        <f>B19</f>
        <v>assay-f-prot</v>
      </c>
      <c r="K19" s="3" t="str">
        <f>INDEX(Individuals!L2:L999, MATCH(C19,Individuals!A2:A999, 0))</f>
        <v>/intake/new-patient/haidar-faisal</v>
      </c>
      <c r="L19" s="3" t="str">
        <f>K19 &amp; "/assays/" &amp; A19</f>
        <v>/intake/new-patient/haidar-faisal/assays/assay-f-prot</v>
      </c>
      <c r="M19" s="3" t="str">
        <f>INDEX(OmicsModalities!B2:B999, MATCH(D19,OmicsModalities!A2:A999, 0))</f>
        <v>Proteomics</v>
      </c>
      <c r="N19" s="3" t="str">
        <f>IF(E19 = "", "Missing Tissue", INDEX(Tissues!B2:B999, MATCH(E19,Tissues!A2:A999, 0)))</f>
        <v>Blood</v>
      </c>
      <c r="O19" s="3" t="b">
        <f>IF(H19 &gt; 0.3, TRUE(), FALSE())</f>
        <v>0</v>
      </c>
      <c r="P19" s="3" t="b">
        <f>IF(AND(NOT(O19), H19 &lt; 0.15), TRUE(), FALSE())</f>
        <v>1</v>
      </c>
      <c r="Q19" s="2"/>
    </row>
    <row r="20">
      <c r="A20" s="2" t="s">
        <v>262</v>
      </c>
      <c r="B20" s="2" t="s">
        <v>262</v>
      </c>
      <c r="C20" s="2" t="s">
        <v>173</v>
      </c>
      <c r="D20" s="2" t="s">
        <v>54</v>
      </c>
      <c r="E20" s="2" t="s">
        <v>39</v>
      </c>
      <c r="F20" s="2" t="s">
        <v>243</v>
      </c>
      <c r="G20" s="2" t="s">
        <v>244</v>
      </c>
      <c r="H20" s="2">
        <v>0.05</v>
      </c>
      <c r="I20" s="2" t="b">
        <v>1</v>
      </c>
      <c r="J20" s="3" t="str">
        <f>B20</f>
        <v>assay-g-rna</v>
      </c>
      <c r="K20" s="3" t="str">
        <f>INDEX(Individuals!L2:L999, MATCH(C20,Individuals!A2:A999, 0))</f>
        <v>/intake/new-patient/lin-grace</v>
      </c>
      <c r="L20" s="3" t="str">
        <f>K20 &amp; "/assays/" &amp; A20</f>
        <v>/intake/new-patient/lin-grace/assays/assay-g-rna</v>
      </c>
      <c r="M20" s="3" t="str">
        <f>INDEX(OmicsModalities!B2:B999, MATCH(D20,OmicsModalities!A2:A999, 0))</f>
        <v>RNA-seq</v>
      </c>
      <c r="N20" s="3" t="str">
        <f>IF(E20 = "", "Missing Tissue", INDEX(Tissues!B2:B999, MATCH(E20,Tissues!A2:A999, 0)))</f>
        <v>Blood</v>
      </c>
      <c r="O20" s="3" t="b">
        <f>IF(H20 &gt; 0.3, TRUE(), FALSE())</f>
        <v>0</v>
      </c>
      <c r="P20" s="3" t="b">
        <f>IF(AND(NOT(O20), H20 &lt; 0.15), TRUE(), FALSE())</f>
        <v>1</v>
      </c>
      <c r="Q20" s="2"/>
    </row>
    <row r="21">
      <c r="A21" s="2" t="s">
        <v>263</v>
      </c>
      <c r="B21" s="2" t="s">
        <v>263</v>
      </c>
      <c r="C21" s="2" t="s">
        <v>173</v>
      </c>
      <c r="D21" s="2" t="s">
        <v>58</v>
      </c>
      <c r="E21" s="2" t="s">
        <v>39</v>
      </c>
      <c r="F21" s="2" t="s">
        <v>243</v>
      </c>
      <c r="G21" s="2" t="s">
        <v>244</v>
      </c>
      <c r="H21" s="2">
        <v>0.05</v>
      </c>
      <c r="I21" s="2" t="b">
        <v>1</v>
      </c>
      <c r="J21" s="3" t="str">
        <f>B21</f>
        <v>assay-g-atac</v>
      </c>
      <c r="K21" s="3" t="str">
        <f>INDEX(Individuals!L2:L999, MATCH(C21,Individuals!A2:A999, 0))</f>
        <v>/intake/new-patient/lin-grace</v>
      </c>
      <c r="L21" s="3" t="str">
        <f>K21 &amp; "/assays/" &amp; A21</f>
        <v>/intake/new-patient/lin-grace/assays/assay-g-atac</v>
      </c>
      <c r="M21" s="3" t="str">
        <f>INDEX(OmicsModalities!B2:B999, MATCH(D21,OmicsModalities!A2:A999, 0))</f>
        <v>ATAC-seq</v>
      </c>
      <c r="N21" s="3" t="str">
        <f>IF(E21 = "", "Missing Tissue", INDEX(Tissues!B2:B999, MATCH(E21,Tissues!A2:A999, 0)))</f>
        <v>Blood</v>
      </c>
      <c r="O21" s="3" t="b">
        <f>IF(H21 &gt; 0.3, TRUE(), FALSE())</f>
        <v>0</v>
      </c>
      <c r="P21" s="3" t="b">
        <f>IF(AND(NOT(O21), H21 &lt; 0.15), TRUE(), FALSE())</f>
        <v>1</v>
      </c>
      <c r="Q21" s="2"/>
    </row>
    <row r="22">
      <c r="A22" s="2" t="s">
        <v>264</v>
      </c>
      <c r="B22" s="2" t="s">
        <v>264</v>
      </c>
      <c r="C22" s="2" t="s">
        <v>173</v>
      </c>
      <c r="D22" s="2" t="s">
        <v>60</v>
      </c>
      <c r="E22" s="2" t="s">
        <v>39</v>
      </c>
      <c r="F22" s="2" t="s">
        <v>243</v>
      </c>
      <c r="G22" s="2" t="s">
        <v>244</v>
      </c>
      <c r="H22" s="2">
        <v>0.05</v>
      </c>
      <c r="I22" s="2" t="b">
        <v>1</v>
      </c>
      <c r="J22" s="3" t="str">
        <f>B22</f>
        <v>assay-g-prot</v>
      </c>
      <c r="K22" s="3" t="str">
        <f>INDEX(Individuals!L2:L999, MATCH(C22,Individuals!A2:A999, 0))</f>
        <v>/intake/new-patient/lin-grace</v>
      </c>
      <c r="L22" s="3" t="str">
        <f>K22 &amp; "/assays/" &amp; A22</f>
        <v>/intake/new-patient/lin-grace/assays/assay-g-prot</v>
      </c>
      <c r="M22" s="3" t="str">
        <f>INDEX(OmicsModalities!B2:B999, MATCH(D22,OmicsModalities!A2:A999, 0))</f>
        <v>Proteomics</v>
      </c>
      <c r="N22" s="3" t="str">
        <f>IF(E22 = "", "Missing Tissue", INDEX(Tissues!B2:B999, MATCH(E22,Tissues!A2:A999, 0)))</f>
        <v>Blood</v>
      </c>
      <c r="O22" s="3" t="b">
        <f>IF(H22 &gt; 0.3, TRUE(), FALSE())</f>
        <v>0</v>
      </c>
      <c r="P22" s="3" t="b">
        <f>IF(AND(NOT(O22), H22 &lt; 0.15), TRUE(), FALSE())</f>
        <v>1</v>
      </c>
      <c r="Q22" s="2"/>
    </row>
    <row r="23">
      <c r="A23" s="2" t="s">
        <v>265</v>
      </c>
      <c r="B23" s="2" t="s">
        <v>265</v>
      </c>
      <c r="C23" s="2" t="s">
        <v>177</v>
      </c>
      <c r="D23" s="2" t="s">
        <v>54</v>
      </c>
      <c r="E23" s="2" t="s">
        <v>39</v>
      </c>
      <c r="F23" s="2" t="s">
        <v>243</v>
      </c>
      <c r="G23" s="2" t="s">
        <v>244</v>
      </c>
      <c r="H23" s="2">
        <v>0.05</v>
      </c>
      <c r="I23" s="2" t="b">
        <v>1</v>
      </c>
      <c r="J23" s="3" t="str">
        <f>B23</f>
        <v>assay-h-rna</v>
      </c>
      <c r="K23" s="3" t="str">
        <f>INDEX(Individuals!L2:L999, MATCH(C23,Individuals!A2:A999, 0))</f>
        <v>/intake/new-patient/yamamoto-hana</v>
      </c>
      <c r="L23" s="3" t="str">
        <f>K23 &amp; "/assays/" &amp; A23</f>
        <v>/intake/new-patient/yamamoto-hana/assays/assay-h-rna</v>
      </c>
      <c r="M23" s="3" t="str">
        <f>INDEX(OmicsModalities!B2:B999, MATCH(D23,OmicsModalities!A2:A999, 0))</f>
        <v>RNA-seq</v>
      </c>
      <c r="N23" s="3" t="str">
        <f>IF(E23 = "", "Missing Tissue", INDEX(Tissues!B2:B999, MATCH(E23,Tissues!A2:A999, 0)))</f>
        <v>Blood</v>
      </c>
      <c r="O23" s="3" t="b">
        <f>IF(H23 &gt; 0.3, TRUE(), FALSE())</f>
        <v>0</v>
      </c>
      <c r="P23" s="3" t="b">
        <f>IF(AND(NOT(O23), H23 &lt; 0.15), TRUE(), FALSE())</f>
        <v>1</v>
      </c>
      <c r="Q23" s="2"/>
    </row>
    <row r="24">
      <c r="A24" s="2" t="s">
        <v>266</v>
      </c>
      <c r="B24" s="2" t="s">
        <v>266</v>
      </c>
      <c r="C24" s="2" t="s">
        <v>177</v>
      </c>
      <c r="D24" s="2" t="s">
        <v>58</v>
      </c>
      <c r="E24" s="2" t="s">
        <v>39</v>
      </c>
      <c r="F24" s="2" t="s">
        <v>243</v>
      </c>
      <c r="G24" s="2" t="s">
        <v>244</v>
      </c>
      <c r="H24" s="2">
        <v>0.05</v>
      </c>
      <c r="I24" s="2" t="b">
        <v>1</v>
      </c>
      <c r="J24" s="3" t="str">
        <f>B24</f>
        <v>assay-h-atac</v>
      </c>
      <c r="K24" s="3" t="str">
        <f>INDEX(Individuals!L2:L999, MATCH(C24,Individuals!A2:A999, 0))</f>
        <v>/intake/new-patient/yamamoto-hana</v>
      </c>
      <c r="L24" s="3" t="str">
        <f>K24 &amp; "/assays/" &amp; A24</f>
        <v>/intake/new-patient/yamamoto-hana/assays/assay-h-atac</v>
      </c>
      <c r="M24" s="3" t="str">
        <f>INDEX(OmicsModalities!B2:B999, MATCH(D24,OmicsModalities!A2:A999, 0))</f>
        <v>ATAC-seq</v>
      </c>
      <c r="N24" s="3" t="str">
        <f>IF(E24 = "", "Missing Tissue", INDEX(Tissues!B2:B999, MATCH(E24,Tissues!A2:A999, 0)))</f>
        <v>Blood</v>
      </c>
      <c r="O24" s="3" t="b">
        <f>IF(H24 &gt; 0.3, TRUE(), FALSE())</f>
        <v>0</v>
      </c>
      <c r="P24" s="3" t="b">
        <f>IF(AND(NOT(O24), H24 &lt; 0.15), TRUE(), FALSE())</f>
        <v>1</v>
      </c>
      <c r="Q24" s="2"/>
    </row>
    <row r="25">
      <c r="A25" s="2" t="s">
        <v>267</v>
      </c>
      <c r="B25" s="2" t="s">
        <v>267</v>
      </c>
      <c r="C25" s="2" t="s">
        <v>177</v>
      </c>
      <c r="D25" s="2" t="s">
        <v>60</v>
      </c>
      <c r="E25" s="2" t="s">
        <v>39</v>
      </c>
      <c r="F25" s="2" t="s">
        <v>243</v>
      </c>
      <c r="G25" s="2" t="s">
        <v>244</v>
      </c>
      <c r="H25" s="2">
        <v>0.05</v>
      </c>
      <c r="I25" s="2" t="b">
        <v>1</v>
      </c>
      <c r="J25" s="3" t="str">
        <f>B25</f>
        <v>assay-h-prot</v>
      </c>
      <c r="K25" s="3" t="str">
        <f>INDEX(Individuals!L2:L999, MATCH(C25,Individuals!A2:A999, 0))</f>
        <v>/intake/new-patient/yamamoto-hana</v>
      </c>
      <c r="L25" s="3" t="str">
        <f>K25 &amp; "/assays/" &amp; A25</f>
        <v>/intake/new-patient/yamamoto-hana/assays/assay-h-prot</v>
      </c>
      <c r="M25" s="3" t="str">
        <f>INDEX(OmicsModalities!B2:B999, MATCH(D25,OmicsModalities!A2:A999, 0))</f>
        <v>Proteomics</v>
      </c>
      <c r="N25" s="3" t="str">
        <f>IF(E25 = "", "Missing Tissue", INDEX(Tissues!B2:B999, MATCH(E25,Tissues!A2:A999, 0)))</f>
        <v>Blood</v>
      </c>
      <c r="O25" s="3" t="b">
        <f>IF(H25 &gt; 0.3, TRUE(), FALSE())</f>
        <v>0</v>
      </c>
      <c r="P25" s="3" t="b">
        <f>IF(AND(NOT(O25), H25 &lt; 0.15), TRUE(), FALSE())</f>
        <v>1</v>
      </c>
      <c r="Q25" s="2"/>
    </row>
    <row r="26">
      <c r="A26" s="2" t="s">
        <v>268</v>
      </c>
      <c r="B26" s="2" t="s">
        <v>268</v>
      </c>
      <c r="C26" s="2" t="s">
        <v>181</v>
      </c>
      <c r="D26" s="2" t="s">
        <v>54</v>
      </c>
      <c r="E26" s="2" t="s">
        <v>39</v>
      </c>
      <c r="F26" s="2" t="s">
        <v>243</v>
      </c>
      <c r="G26" s="2" t="s">
        <v>244</v>
      </c>
      <c r="H26" s="2">
        <v>0.05</v>
      </c>
      <c r="I26" s="2" t="b">
        <v>1</v>
      </c>
      <c r="J26" s="3" t="str">
        <f>B26</f>
        <v>assay-i-rna</v>
      </c>
      <c r="K26" s="3" t="str">
        <f>INDEX(Individuals!L2:L999, MATCH(C26,Individuals!A2:A999, 0))</f>
        <v>/intake/new-patient/conteh-ibrahim</v>
      </c>
      <c r="L26" s="3" t="str">
        <f>K26 &amp; "/assays/" &amp; A26</f>
        <v>/intake/new-patient/conteh-ibrahim/assays/assay-i-rna</v>
      </c>
      <c r="M26" s="3" t="str">
        <f>INDEX(OmicsModalities!B2:B999, MATCH(D26,OmicsModalities!A2:A999, 0))</f>
        <v>RNA-seq</v>
      </c>
      <c r="N26" s="3" t="str">
        <f>IF(E26 = "", "Missing Tissue", INDEX(Tissues!B2:B999, MATCH(E26,Tissues!A2:A999, 0)))</f>
        <v>Blood</v>
      </c>
      <c r="O26" s="3" t="b">
        <f>IF(H26 &gt; 0.3, TRUE(), FALSE())</f>
        <v>0</v>
      </c>
      <c r="P26" s="3" t="b">
        <f>IF(AND(NOT(O26), H26 &lt; 0.15), TRUE(), FALSE())</f>
        <v>1</v>
      </c>
      <c r="Q26" s="2"/>
    </row>
    <row r="27">
      <c r="A27" s="2" t="s">
        <v>269</v>
      </c>
      <c r="B27" s="2" t="s">
        <v>269</v>
      </c>
      <c r="C27" s="2" t="s">
        <v>181</v>
      </c>
      <c r="D27" s="2" t="s">
        <v>58</v>
      </c>
      <c r="E27" s="2" t="s">
        <v>39</v>
      </c>
      <c r="F27" s="2" t="s">
        <v>243</v>
      </c>
      <c r="G27" s="2" t="s">
        <v>244</v>
      </c>
      <c r="H27" s="2">
        <v>0.05</v>
      </c>
      <c r="I27" s="2" t="b">
        <v>1</v>
      </c>
      <c r="J27" s="3" t="str">
        <f>B27</f>
        <v>assay-i-atac</v>
      </c>
      <c r="K27" s="3" t="str">
        <f>INDEX(Individuals!L2:L999, MATCH(C27,Individuals!A2:A999, 0))</f>
        <v>/intake/new-patient/conteh-ibrahim</v>
      </c>
      <c r="L27" s="3" t="str">
        <f>K27 &amp; "/assays/" &amp; A27</f>
        <v>/intake/new-patient/conteh-ibrahim/assays/assay-i-atac</v>
      </c>
      <c r="M27" s="3" t="str">
        <f>INDEX(OmicsModalities!B2:B999, MATCH(D27,OmicsModalities!A2:A999, 0))</f>
        <v>ATAC-seq</v>
      </c>
      <c r="N27" s="3" t="str">
        <f>IF(E27 = "", "Missing Tissue", INDEX(Tissues!B2:B999, MATCH(E27,Tissues!A2:A999, 0)))</f>
        <v>Blood</v>
      </c>
      <c r="O27" s="3" t="b">
        <f>IF(H27 &gt; 0.3, TRUE(), FALSE())</f>
        <v>0</v>
      </c>
      <c r="P27" s="3" t="b">
        <f>IF(AND(NOT(O27), H27 &lt; 0.15), TRUE(), FALSE())</f>
        <v>1</v>
      </c>
      <c r="Q27" s="2"/>
    </row>
    <row r="28">
      <c r="A28" s="2" t="s">
        <v>270</v>
      </c>
      <c r="B28" s="2" t="s">
        <v>270</v>
      </c>
      <c r="C28" s="2" t="s">
        <v>181</v>
      </c>
      <c r="D28" s="2" t="s">
        <v>60</v>
      </c>
      <c r="E28" s="2" t="s">
        <v>39</v>
      </c>
      <c r="F28" s="2" t="s">
        <v>243</v>
      </c>
      <c r="G28" s="2" t="s">
        <v>244</v>
      </c>
      <c r="H28" s="2">
        <v>0.05</v>
      </c>
      <c r="I28" s="2" t="b">
        <v>1</v>
      </c>
      <c r="J28" s="3" t="str">
        <f>B28</f>
        <v>assay-i-prot</v>
      </c>
      <c r="K28" s="3" t="str">
        <f>INDEX(Individuals!L2:L999, MATCH(C28,Individuals!A2:A999, 0))</f>
        <v>/intake/new-patient/conteh-ibrahim</v>
      </c>
      <c r="L28" s="3" t="str">
        <f>K28 &amp; "/assays/" &amp; A28</f>
        <v>/intake/new-patient/conteh-ibrahim/assays/assay-i-prot</v>
      </c>
      <c r="M28" s="3" t="str">
        <f>INDEX(OmicsModalities!B2:B999, MATCH(D28,OmicsModalities!A2:A999, 0))</f>
        <v>Proteomics</v>
      </c>
      <c r="N28" s="3" t="str">
        <f>IF(E28 = "", "Missing Tissue", INDEX(Tissues!B2:B999, MATCH(E28,Tissues!A2:A999, 0)))</f>
        <v>Blood</v>
      </c>
      <c r="O28" s="3" t="b">
        <f>IF(H28 &gt; 0.3, TRUE(), FALSE())</f>
        <v>0</v>
      </c>
      <c r="P28" s="3" t="b">
        <f>IF(AND(NOT(O28), H28 &lt; 0.15), TRUE(), FALSE())</f>
        <v>1</v>
      </c>
      <c r="Q28" s="2"/>
    </row>
    <row r="29">
      <c r="A29" s="2" t="s">
        <v>271</v>
      </c>
      <c r="B29" s="2" t="s">
        <v>271</v>
      </c>
      <c r="C29" s="2" t="s">
        <v>185</v>
      </c>
      <c r="D29" s="2" t="s">
        <v>54</v>
      </c>
      <c r="E29" s="2" t="s">
        <v>39</v>
      </c>
      <c r="F29" s="2" t="s">
        <v>243</v>
      </c>
      <c r="G29" s="2" t="s">
        <v>244</v>
      </c>
      <c r="H29" s="2">
        <v>0.05</v>
      </c>
      <c r="I29" s="2" t="b">
        <v>1</v>
      </c>
      <c r="J29" s="3" t="str">
        <f>B29</f>
        <v>assay-j-rna</v>
      </c>
      <c r="K29" s="3" t="str">
        <f>INDEX(Individuals!L2:L999, MATCH(C29,Individuals!A2:A999, 0))</f>
        <v>/intake/new-patient/brooks-jamal</v>
      </c>
      <c r="L29" s="3" t="str">
        <f>K29 &amp; "/assays/" &amp; A29</f>
        <v>/intake/new-patient/brooks-jamal/assays/assay-j-rna</v>
      </c>
      <c r="M29" s="3" t="str">
        <f>INDEX(OmicsModalities!B2:B999, MATCH(D29,OmicsModalities!A2:A999, 0))</f>
        <v>RNA-seq</v>
      </c>
      <c r="N29" s="3" t="str">
        <f>IF(E29 = "", "Missing Tissue", INDEX(Tissues!B2:B999, MATCH(E29,Tissues!A2:A999, 0)))</f>
        <v>Blood</v>
      </c>
      <c r="O29" s="3" t="b">
        <f>IF(H29 &gt; 0.3, TRUE(), FALSE())</f>
        <v>0</v>
      </c>
      <c r="P29" s="3" t="b">
        <f>IF(AND(NOT(O29), H29 &lt; 0.15), TRUE(), FALSE())</f>
        <v>1</v>
      </c>
      <c r="Q29" s="2"/>
    </row>
    <row r="30">
      <c r="A30" s="2" t="s">
        <v>272</v>
      </c>
      <c r="B30" s="2" t="s">
        <v>272</v>
      </c>
      <c r="C30" s="2" t="s">
        <v>185</v>
      </c>
      <c r="D30" s="2" t="s">
        <v>58</v>
      </c>
      <c r="E30" s="2" t="s">
        <v>39</v>
      </c>
      <c r="F30" s="2" t="s">
        <v>243</v>
      </c>
      <c r="G30" s="2" t="s">
        <v>244</v>
      </c>
      <c r="H30" s="2">
        <v>0.05</v>
      </c>
      <c r="I30" s="2" t="b">
        <v>1</v>
      </c>
      <c r="J30" s="3" t="str">
        <f>B30</f>
        <v>assay-j-atac</v>
      </c>
      <c r="K30" s="3" t="str">
        <f>INDEX(Individuals!L2:L999, MATCH(C30,Individuals!A2:A999, 0))</f>
        <v>/intake/new-patient/brooks-jamal</v>
      </c>
      <c r="L30" s="3" t="str">
        <f>K30 &amp; "/assays/" &amp; A30</f>
        <v>/intake/new-patient/brooks-jamal/assays/assay-j-atac</v>
      </c>
      <c r="M30" s="3" t="str">
        <f>INDEX(OmicsModalities!B2:B999, MATCH(D30,OmicsModalities!A2:A999, 0))</f>
        <v>ATAC-seq</v>
      </c>
      <c r="N30" s="3" t="str">
        <f>IF(E30 = "", "Missing Tissue", INDEX(Tissues!B2:B999, MATCH(E30,Tissues!A2:A999, 0)))</f>
        <v>Blood</v>
      </c>
      <c r="O30" s="3" t="b">
        <f>IF(H30 &gt; 0.3, TRUE(), FALSE())</f>
        <v>0</v>
      </c>
      <c r="P30" s="3" t="b">
        <f>IF(AND(NOT(O30), H30 &lt; 0.15), TRUE(), FALSE())</f>
        <v>1</v>
      </c>
      <c r="Q30" s="2"/>
    </row>
    <row r="31">
      <c r="A31" s="2" t="s">
        <v>273</v>
      </c>
      <c r="B31" s="2" t="s">
        <v>273</v>
      </c>
      <c r="C31" s="2" t="s">
        <v>185</v>
      </c>
      <c r="D31" s="2" t="s">
        <v>60</v>
      </c>
      <c r="E31" s="2" t="s">
        <v>39</v>
      </c>
      <c r="F31" s="2" t="s">
        <v>243</v>
      </c>
      <c r="G31" s="2" t="s">
        <v>244</v>
      </c>
      <c r="H31" s="2">
        <v>0.05</v>
      </c>
      <c r="I31" s="2" t="b">
        <v>1</v>
      </c>
      <c r="J31" s="3" t="str">
        <f>B31</f>
        <v>assay-j-prot</v>
      </c>
      <c r="K31" s="3" t="str">
        <f>INDEX(Individuals!L2:L999, MATCH(C31,Individuals!A2:A999, 0))</f>
        <v>/intake/new-patient/brooks-jamal</v>
      </c>
      <c r="L31" s="3" t="str">
        <f>K31 &amp; "/assays/" &amp; A31</f>
        <v>/intake/new-patient/brooks-jamal/assays/assay-j-prot</v>
      </c>
      <c r="M31" s="3" t="str">
        <f>INDEX(OmicsModalities!B2:B999, MATCH(D31,OmicsModalities!A2:A999, 0))</f>
        <v>Proteomics</v>
      </c>
      <c r="N31" s="3" t="str">
        <f>IF(E31 = "", "Missing Tissue", INDEX(Tissues!B2:B999, MATCH(E31,Tissues!A2:A999, 0)))</f>
        <v>Blood</v>
      </c>
      <c r="O31" s="3" t="b">
        <f>IF(H31 &gt; 0.3, TRUE(), FALSE())</f>
        <v>0</v>
      </c>
      <c r="P31" s="3" t="b">
        <f>IF(AND(NOT(O31), H31 &lt; 0.15), TRUE(), FALSE())</f>
        <v>1</v>
      </c>
      <c r="Q31" s="2"/>
    </row>
    <row r="32">
      <c r="A32" s="2" t="s">
        <v>274</v>
      </c>
      <c r="B32" s="2" t="s">
        <v>274</v>
      </c>
      <c r="C32" s="2" t="s">
        <v>190</v>
      </c>
      <c r="D32" s="2" t="s">
        <v>54</v>
      </c>
      <c r="E32" s="2" t="s">
        <v>39</v>
      </c>
      <c r="F32" s="2" t="s">
        <v>243</v>
      </c>
      <c r="G32" s="2" t="s">
        <v>244</v>
      </c>
      <c r="H32" s="2">
        <v>0.05</v>
      </c>
      <c r="I32" s="2" t="b">
        <v>1</v>
      </c>
      <c r="J32" s="3" t="str">
        <f>B32</f>
        <v>assay-k-rna</v>
      </c>
      <c r="K32" s="3" t="str">
        <f>INDEX(Individuals!L2:L999, MATCH(C32,Individuals!A2:A999, 0))</f>
        <v>/intake/new-patient/nair-kavya</v>
      </c>
      <c r="L32" s="3" t="str">
        <f>K32 &amp; "/assays/" &amp; A32</f>
        <v>/intake/new-patient/nair-kavya/assays/assay-k-rna</v>
      </c>
      <c r="M32" s="3" t="str">
        <f>INDEX(OmicsModalities!B2:B999, MATCH(D32,OmicsModalities!A2:A999, 0))</f>
        <v>RNA-seq</v>
      </c>
      <c r="N32" s="3" t="str">
        <f>IF(E32 = "", "Missing Tissue", INDEX(Tissues!B2:B999, MATCH(E32,Tissues!A2:A999, 0)))</f>
        <v>Blood</v>
      </c>
      <c r="O32" s="3" t="b">
        <f>IF(H32 &gt; 0.3, TRUE(), FALSE())</f>
        <v>0</v>
      </c>
      <c r="P32" s="3" t="b">
        <f>IF(AND(NOT(O32), H32 &lt; 0.15), TRUE(), FALSE())</f>
        <v>1</v>
      </c>
      <c r="Q32" s="2"/>
    </row>
    <row r="33">
      <c r="A33" s="2" t="s">
        <v>275</v>
      </c>
      <c r="B33" s="2" t="s">
        <v>275</v>
      </c>
      <c r="C33" s="2" t="s">
        <v>190</v>
      </c>
      <c r="D33" s="2" t="s">
        <v>58</v>
      </c>
      <c r="E33" s="2" t="s">
        <v>39</v>
      </c>
      <c r="F33" s="2" t="s">
        <v>243</v>
      </c>
      <c r="G33" s="2" t="s">
        <v>244</v>
      </c>
      <c r="H33" s="2">
        <v>0.05</v>
      </c>
      <c r="I33" s="2" t="b">
        <v>1</v>
      </c>
      <c r="J33" s="3" t="str">
        <f>B33</f>
        <v>assay-k-atac</v>
      </c>
      <c r="K33" s="3" t="str">
        <f>INDEX(Individuals!L2:L999, MATCH(C33,Individuals!A2:A999, 0))</f>
        <v>/intake/new-patient/nair-kavya</v>
      </c>
      <c r="L33" s="3" t="str">
        <f>K33 &amp; "/assays/" &amp; A33</f>
        <v>/intake/new-patient/nair-kavya/assays/assay-k-atac</v>
      </c>
      <c r="M33" s="3" t="str">
        <f>INDEX(OmicsModalities!B2:B999, MATCH(D33,OmicsModalities!A2:A999, 0))</f>
        <v>ATAC-seq</v>
      </c>
      <c r="N33" s="3" t="str">
        <f>IF(E33 = "", "Missing Tissue", INDEX(Tissues!B2:B999, MATCH(E33,Tissues!A2:A999, 0)))</f>
        <v>Blood</v>
      </c>
      <c r="O33" s="3" t="b">
        <f>IF(H33 &gt; 0.3, TRUE(), FALSE())</f>
        <v>0</v>
      </c>
      <c r="P33" s="3" t="b">
        <f>IF(AND(NOT(O33), H33 &lt; 0.15), TRUE(), FALSE())</f>
        <v>1</v>
      </c>
      <c r="Q33" s="2"/>
    </row>
    <row r="34">
      <c r="A34" s="2" t="s">
        <v>276</v>
      </c>
      <c r="B34" s="2" t="s">
        <v>276</v>
      </c>
      <c r="C34" s="2" t="s">
        <v>190</v>
      </c>
      <c r="D34" s="2" t="s">
        <v>60</v>
      </c>
      <c r="E34" s="2" t="s">
        <v>39</v>
      </c>
      <c r="F34" s="2" t="s">
        <v>243</v>
      </c>
      <c r="G34" s="2" t="s">
        <v>244</v>
      </c>
      <c r="H34" s="2">
        <v>0.05</v>
      </c>
      <c r="I34" s="2" t="b">
        <v>1</v>
      </c>
      <c r="J34" s="3" t="str">
        <f>B34</f>
        <v>assay-k-prot</v>
      </c>
      <c r="K34" s="3" t="str">
        <f>INDEX(Individuals!L2:L999, MATCH(C34,Individuals!A2:A999, 0))</f>
        <v>/intake/new-patient/nair-kavya</v>
      </c>
      <c r="L34" s="3" t="str">
        <f>K34 &amp; "/assays/" &amp; A34</f>
        <v>/intake/new-patient/nair-kavya/assays/assay-k-prot</v>
      </c>
      <c r="M34" s="3" t="str">
        <f>INDEX(OmicsModalities!B2:B999, MATCH(D34,OmicsModalities!A2:A999, 0))</f>
        <v>Proteomics</v>
      </c>
      <c r="N34" s="3" t="str">
        <f>IF(E34 = "", "Missing Tissue", INDEX(Tissues!B2:B999, MATCH(E34,Tissues!A2:A999, 0)))</f>
        <v>Blood</v>
      </c>
      <c r="O34" s="3" t="b">
        <f>IF(H34 &gt; 0.3, TRUE(), FALSE())</f>
        <v>0</v>
      </c>
      <c r="P34" s="3" t="b">
        <f>IF(AND(NOT(O34), H34 &lt; 0.15), TRUE(), FALSE())</f>
        <v>1</v>
      </c>
      <c r="Q34" s="2"/>
    </row>
    <row r="35">
      <c r="A35" s="2" t="s">
        <v>277</v>
      </c>
      <c r="B35" s="2" t="s">
        <v>277</v>
      </c>
      <c r="C35" s="2" t="s">
        <v>195</v>
      </c>
      <c r="D35" s="2" t="s">
        <v>54</v>
      </c>
      <c r="E35" s="2" t="s">
        <v>39</v>
      </c>
      <c r="F35" s="2" t="s">
        <v>243</v>
      </c>
      <c r="G35" s="2" t="s">
        <v>244</v>
      </c>
      <c r="H35" s="2">
        <v>0.05</v>
      </c>
      <c r="I35" s="2" t="b">
        <v>1</v>
      </c>
      <c r="J35" s="3" t="str">
        <f>B35</f>
        <v>assay-l-rna</v>
      </c>
      <c r="K35" s="3" t="str">
        <f>INDEX(Individuals!L2:L999, MATCH(C35,Individuals!A2:A999, 0))</f>
        <v>/intake/new-patient/brandt-lena</v>
      </c>
      <c r="L35" s="3" t="str">
        <f>K35 &amp; "/assays/" &amp; A35</f>
        <v>/intake/new-patient/brandt-lena/assays/assay-l-rna</v>
      </c>
      <c r="M35" s="3" t="str">
        <f>INDEX(OmicsModalities!B2:B999, MATCH(D35,OmicsModalities!A2:A999, 0))</f>
        <v>RNA-seq</v>
      </c>
      <c r="N35" s="3" t="str">
        <f>IF(E35 = "", "Missing Tissue", INDEX(Tissues!B2:B999, MATCH(E35,Tissues!A2:A999, 0)))</f>
        <v>Blood</v>
      </c>
      <c r="O35" s="3" t="b">
        <f>IF(H35 &gt; 0.3, TRUE(), FALSE())</f>
        <v>0</v>
      </c>
      <c r="P35" s="3" t="b">
        <f>IF(AND(NOT(O35), H35 &lt; 0.15), TRUE(), FALSE())</f>
        <v>1</v>
      </c>
      <c r="Q35" s="2"/>
    </row>
    <row r="36">
      <c r="A36" s="2" t="s">
        <v>278</v>
      </c>
      <c r="B36" s="2" t="s">
        <v>278</v>
      </c>
      <c r="C36" s="2" t="s">
        <v>195</v>
      </c>
      <c r="D36" s="2" t="s">
        <v>58</v>
      </c>
      <c r="E36" s="2" t="s">
        <v>39</v>
      </c>
      <c r="F36" s="2" t="s">
        <v>243</v>
      </c>
      <c r="G36" s="2" t="s">
        <v>244</v>
      </c>
      <c r="H36" s="2">
        <v>0.05</v>
      </c>
      <c r="I36" s="2" t="b">
        <v>1</v>
      </c>
      <c r="J36" s="3" t="str">
        <f>B36</f>
        <v>assay-l-atac</v>
      </c>
      <c r="K36" s="3" t="str">
        <f>INDEX(Individuals!L2:L999, MATCH(C36,Individuals!A2:A999, 0))</f>
        <v>/intake/new-patient/brandt-lena</v>
      </c>
      <c r="L36" s="3" t="str">
        <f>K36 &amp; "/assays/" &amp; A36</f>
        <v>/intake/new-patient/brandt-lena/assays/assay-l-atac</v>
      </c>
      <c r="M36" s="3" t="str">
        <f>INDEX(OmicsModalities!B2:B999, MATCH(D36,OmicsModalities!A2:A999, 0))</f>
        <v>ATAC-seq</v>
      </c>
      <c r="N36" s="3" t="str">
        <f>IF(E36 = "", "Missing Tissue", INDEX(Tissues!B2:B999, MATCH(E36,Tissues!A2:A999, 0)))</f>
        <v>Blood</v>
      </c>
      <c r="O36" s="3" t="b">
        <f>IF(H36 &gt; 0.3, TRUE(), FALSE())</f>
        <v>0</v>
      </c>
      <c r="P36" s="3" t="b">
        <f>IF(AND(NOT(O36), H36 &lt; 0.15), TRUE(), FALSE())</f>
        <v>1</v>
      </c>
      <c r="Q36" s="2"/>
    </row>
    <row r="37">
      <c r="A37" s="2" t="s">
        <v>279</v>
      </c>
      <c r="B37" s="2" t="s">
        <v>279</v>
      </c>
      <c r="C37" s="2" t="s">
        <v>195</v>
      </c>
      <c r="D37" s="2" t="s">
        <v>60</v>
      </c>
      <c r="E37" s="2" t="s">
        <v>39</v>
      </c>
      <c r="F37" s="2" t="s">
        <v>243</v>
      </c>
      <c r="G37" s="2" t="s">
        <v>244</v>
      </c>
      <c r="H37" s="2">
        <v>0.05</v>
      </c>
      <c r="I37" s="2" t="b">
        <v>1</v>
      </c>
      <c r="J37" s="3" t="str">
        <f>B37</f>
        <v>assay-l-prot</v>
      </c>
      <c r="K37" s="3" t="str">
        <f>INDEX(Individuals!L2:L999, MATCH(C37,Individuals!A2:A999, 0))</f>
        <v>/intake/new-patient/brandt-lena</v>
      </c>
      <c r="L37" s="3" t="str">
        <f>K37 &amp; "/assays/" &amp; A37</f>
        <v>/intake/new-patient/brandt-lena/assays/assay-l-prot</v>
      </c>
      <c r="M37" s="3" t="str">
        <f>INDEX(OmicsModalities!B2:B999, MATCH(D37,OmicsModalities!A2:A999, 0))</f>
        <v>Proteomics</v>
      </c>
      <c r="N37" s="3" t="str">
        <f>IF(E37 = "", "Missing Tissue", INDEX(Tissues!B2:B999, MATCH(E37,Tissues!A2:A999, 0)))</f>
        <v>Blood</v>
      </c>
      <c r="O37" s="3" t="b">
        <f>IF(H37 &gt; 0.3, TRUE(), FALSE())</f>
        <v>0</v>
      </c>
      <c r="P37" s="3" t="b">
        <f>IF(AND(NOT(O37), H37 &lt; 0.15), TRUE(), FALSE())</f>
        <v>1</v>
      </c>
      <c r="Q37" s="2"/>
    </row>
  </sheetData>
  <autoFilter ref="A1:Q1"/>
  <headerFooter/>
  <legacyDrawing r:id="rId1"/>
</worksheet>
</file>

<file path=xl/worksheets/sheet1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U37"/>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92210578918457" customWidth="1"/>
    <col min="4" max="4" width="17.443378448486328" customWidth="1"/>
    <col min="5" max="5" width="17.443378448486328" customWidth="1"/>
    <col min="6" max="6" width="17.443378448486328" customWidth="1"/>
    <col min="7" max="7" width="17.443378448486328" customWidth="1"/>
    <col min="8" max="8" width="22.165037155151367" customWidth="1"/>
    <col min="9" max="9" width="25.938350677490234" customWidth="1"/>
    <col min="10" max="10" width="19.89995002746582" customWidth="1"/>
    <col min="11" max="11" width="17.443378448486328" customWidth="1"/>
    <col min="12" max="12" width="33.61873245239258" customWidth="1"/>
    <col min="13" max="13" width="75.5369644165039" customWidth="1"/>
    <col min="14" max="14" width="17.443378448486328" customWidth="1"/>
    <col min="15" max="15" width="53.756568908691406" customWidth="1"/>
    <col min="16" max="16" width="70.10589599609375" customWidth="1"/>
    <col min="17" max="17" width="19.50657844543457" customWidth="1"/>
    <col min="18" max="18" width="17.443378448486328" customWidth="1"/>
    <col min="19" max="19" width="22.171113967895508" customWidth="1"/>
    <col min="20" max="20" width="19.813966751098633" customWidth="1"/>
    <col min="21" max="21" width="51.414974212646484" customWidth="1"/>
  </cols>
  <sheetData>
    <row r="1">
      <c r="A1" s="1" t="s">
        <v>280</v>
      </c>
      <c r="B1" s="1" t="s">
        <v>281</v>
      </c>
      <c r="C1" s="1" t="s">
        <v>282</v>
      </c>
      <c r="D1" s="1" t="s">
        <v>283</v>
      </c>
      <c r="E1" s="1" t="s">
        <v>284</v>
      </c>
      <c r="F1" s="1" t="s">
        <v>285</v>
      </c>
      <c r="G1" s="1" t="s">
        <v>286</v>
      </c>
      <c r="H1" s="1" t="s">
        <v>287</v>
      </c>
      <c r="I1" s="1" t="s">
        <v>288</v>
      </c>
      <c r="J1" s="1" t="s">
        <v>289</v>
      </c>
      <c r="K1" s="1" t="s">
        <v>290</v>
      </c>
      <c r="L1" s="1" t="s">
        <v>291</v>
      </c>
      <c r="M1" s="1" t="s">
        <v>292</v>
      </c>
      <c r="N1" s="1" t="s">
        <v>3</v>
      </c>
      <c r="O1" s="1" t="s">
        <v>23</v>
      </c>
      <c r="P1" s="1" t="s">
        <v>4</v>
      </c>
      <c r="Q1" s="1" t="s">
        <v>293</v>
      </c>
      <c r="R1" s="1" t="s">
        <v>294</v>
      </c>
      <c r="S1" s="1" t="s">
        <v>295</v>
      </c>
      <c r="T1" s="1" t="s">
        <v>296</v>
      </c>
      <c r="U1" s="1" t="s">
        <v>210</v>
      </c>
    </row>
    <row r="2">
      <c r="A2" s="2" t="s">
        <v>297</v>
      </c>
      <c r="B2" s="2" t="s">
        <v>297</v>
      </c>
      <c r="C2" s="2" t="s">
        <v>298</v>
      </c>
      <c r="D2" s="2" t="s">
        <v>242</v>
      </c>
      <c r="E2" s="2">
        <v>0.91</v>
      </c>
      <c r="F2" s="2">
        <v>0.2</v>
      </c>
      <c r="G2" s="2" t="b">
        <v>0</v>
      </c>
      <c r="H2" s="2" t="b">
        <v>0</v>
      </c>
      <c r="I2" s="2" t="b">
        <v>1</v>
      </c>
      <c r="J2" s="2" t="b">
        <v>1</v>
      </c>
      <c r="K2" s="2" t="b">
        <v>1</v>
      </c>
      <c r="L2" s="2" t="s">
        <v>299</v>
      </c>
      <c r="M2" s="2" t="s">
        <v>300</v>
      </c>
      <c r="N2" s="3" t="str">
        <f>B2</f>
        <v>ev-a-1</v>
      </c>
      <c r="O2" s="3" t="str">
        <f>INDEX(CausalMechanisms!L2:L999, MATCH(C2,CausalMechanisms!A2:A999, 0))</f>
        <v>/intake/new-patient/reyes-ana/mechanisms/cm-a</v>
      </c>
      <c r="P2" s="3" t="str">
        <f>O2 &amp; "/evidence/" &amp; A2</f>
        <v>/intake/new-patient/reyes-ana/mechanisms/cm-a/evidence/ev-a-1</v>
      </c>
      <c r="Q2" s="3" t="b">
        <f>INDEX(OmicsAssays!P2:P999, MATCH(D2,OmicsAssays!A2:A999, 0))</f>
        <v>1</v>
      </c>
      <c r="R2" s="3">
        <f>IF(F2 &gt; 0, E2 / F2, 0)</f>
        <v>4.55</v>
      </c>
      <c r="S2" s="3" t="b">
        <f>IF(AND(I2, J2), TRUE(), FALSE())</f>
        <v>1</v>
      </c>
      <c r="T2" s="3" t="b">
        <f>IF(AND(Q2, NOT(H2), R2 &gt;= 2, S2), TRUE(), FALSE())</f>
        <v>1</v>
      </c>
      <c r="U2" s="2" t="s">
        <v>301</v>
      </c>
    </row>
    <row r="3">
      <c r="A3" s="2" t="s">
        <v>302</v>
      </c>
      <c r="B3" s="2" t="s">
        <v>302</v>
      </c>
      <c r="C3" s="2" t="s">
        <v>298</v>
      </c>
      <c r="D3" s="2" t="s">
        <v>245</v>
      </c>
      <c r="E3" s="2">
        <v>0.73</v>
      </c>
      <c r="F3" s="2">
        <v>0.19</v>
      </c>
      <c r="G3" s="2" t="b">
        <v>1</v>
      </c>
      <c r="H3" s="2" t="b">
        <v>0</v>
      </c>
      <c r="I3" s="2" t="b">
        <v>1</v>
      </c>
      <c r="J3" s="2" t="b">
        <v>1</v>
      </c>
      <c r="K3" s="2" t="b">
        <v>1</v>
      </c>
      <c r="L3" s="2" t="s">
        <v>303</v>
      </c>
      <c r="M3" s="2" t="s">
        <v>304</v>
      </c>
      <c r="N3" s="3" t="str">
        <f>B3</f>
        <v>ev-a-2</v>
      </c>
      <c r="O3" s="3" t="str">
        <f>INDEX(CausalMechanisms!L2:L999, MATCH(C3,CausalMechanisms!A2:A999, 0))</f>
        <v>/intake/new-patient/reyes-ana/mechanisms/cm-a</v>
      </c>
      <c r="P3" s="3" t="str">
        <f>O3 &amp; "/evidence/" &amp; A3</f>
        <v>/intake/new-patient/reyes-ana/mechanisms/cm-a/evidence/ev-a-2</v>
      </c>
      <c r="Q3" s="3" t="b">
        <f>INDEX(OmicsAssays!P2:P999, MATCH(D3,OmicsAssays!A2:A999, 0))</f>
        <v>1</v>
      </c>
      <c r="R3" s="3">
        <f>IF(F3 &gt; 0, E3 / F3, 0)</f>
        <v>3.8421052631578947</v>
      </c>
      <c r="S3" s="3" t="b">
        <f>IF(AND(I3, J3), TRUE(), FALSE())</f>
        <v>1</v>
      </c>
      <c r="T3" s="3" t="b">
        <f>IF(AND(Q3, NOT(H3), R3 &gt;= 2, S3), TRUE(), FALSE())</f>
        <v>1</v>
      </c>
      <c r="U3" s="2" t="s">
        <v>305</v>
      </c>
    </row>
    <row r="4">
      <c r="A4" s="2" t="s">
        <v>306</v>
      </c>
      <c r="B4" s="2" t="s">
        <v>306</v>
      </c>
      <c r="C4" s="2" t="s">
        <v>298</v>
      </c>
      <c r="D4" s="2" t="s">
        <v>246</v>
      </c>
      <c r="E4" s="2">
        <v>0.66</v>
      </c>
      <c r="F4" s="2">
        <v>0.205</v>
      </c>
      <c r="G4" s="2" t="b">
        <v>1</v>
      </c>
      <c r="H4" s="2" t="b">
        <v>0</v>
      </c>
      <c r="I4" s="2" t="b">
        <v>1</v>
      </c>
      <c r="J4" s="2" t="b">
        <v>1</v>
      </c>
      <c r="K4" s="2" t="b">
        <v>1</v>
      </c>
      <c r="L4" s="2" t="s">
        <v>307</v>
      </c>
      <c r="M4" s="2" t="s">
        <v>308</v>
      </c>
      <c r="N4" s="3" t="str">
        <f>B4</f>
        <v>ev-a-3</v>
      </c>
      <c r="O4" s="3" t="str">
        <f>INDEX(CausalMechanisms!L2:L999, MATCH(C4,CausalMechanisms!A2:A999, 0))</f>
        <v>/intake/new-patient/reyes-ana/mechanisms/cm-a</v>
      </c>
      <c r="P4" s="3" t="str">
        <f>O4 &amp; "/evidence/" &amp; A4</f>
        <v>/intake/new-patient/reyes-ana/mechanisms/cm-a/evidence/ev-a-3</v>
      </c>
      <c r="Q4" s="3" t="b">
        <f>INDEX(OmicsAssays!P2:P999, MATCH(D4,OmicsAssays!A2:A999, 0))</f>
        <v>1</v>
      </c>
      <c r="R4" s="3">
        <f>IF(F4 &gt; 0, E4 / F4, 0)</f>
        <v>3.2195121951219514</v>
      </c>
      <c r="S4" s="3" t="b">
        <f>IF(AND(I4, J4), TRUE(), FALSE())</f>
        <v>1</v>
      </c>
      <c r="T4" s="3" t="b">
        <f>IF(AND(Q4, NOT(H4), R4 &gt;= 2, S4), TRUE(), FALSE())</f>
        <v>1</v>
      </c>
      <c r="U4" s="2" t="s">
        <v>309</v>
      </c>
    </row>
    <row r="5">
      <c r="A5" s="2" t="s">
        <v>310</v>
      </c>
      <c r="B5" s="2" t="s">
        <v>310</v>
      </c>
      <c r="C5" s="2" t="s">
        <v>311</v>
      </c>
      <c r="D5" s="2" t="s">
        <v>247</v>
      </c>
      <c r="E5" s="2">
        <v>0.84</v>
      </c>
      <c r="F5" s="2">
        <v>0.21</v>
      </c>
      <c r="G5" s="2" t="b">
        <v>0</v>
      </c>
      <c r="H5" s="2" t="b">
        <v>0</v>
      </c>
      <c r="I5" s="2" t="b">
        <v>1</v>
      </c>
      <c r="J5" s="2" t="b">
        <v>1</v>
      </c>
      <c r="K5" s="2" t="b">
        <v>1</v>
      </c>
      <c r="L5" s="2" t="s">
        <v>299</v>
      </c>
      <c r="M5" s="2" t="s">
        <v>300</v>
      </c>
      <c r="N5" s="3" t="str">
        <f>B5</f>
        <v>ev-b-1</v>
      </c>
      <c r="O5" s="3" t="str">
        <f>INDEX(CausalMechanisms!L2:L999, MATCH(C5,CausalMechanisms!A2:A999, 0))</f>
        <v>/intake/new-patient/okafor-bili/mechanisms/cm-b</v>
      </c>
      <c r="P5" s="3" t="str">
        <f>O5 &amp; "/evidence/" &amp; A5</f>
        <v>/intake/new-patient/okafor-bili/mechanisms/cm-b/evidence/ev-b-1</v>
      </c>
      <c r="Q5" s="3" t="b">
        <f>INDEX(OmicsAssays!P2:P999, MATCH(D5,OmicsAssays!A2:A999, 0))</f>
        <v>1</v>
      </c>
      <c r="R5" s="3">
        <f>IF(F5 &gt; 0, E5 / F5, 0)</f>
        <v>4</v>
      </c>
      <c r="S5" s="3" t="b">
        <f>IF(AND(I5, J5), TRUE(), FALSE())</f>
        <v>1</v>
      </c>
      <c r="T5" s="3" t="b">
        <f>IF(AND(Q5, NOT(H5), R5 &gt;= 2, S5), TRUE(), FALSE())</f>
        <v>1</v>
      </c>
      <c r="U5" s="2" t="s">
        <v>312</v>
      </c>
    </row>
    <row r="6">
      <c r="A6" s="2" t="s">
        <v>313</v>
      </c>
      <c r="B6" s="2" t="s">
        <v>313</v>
      </c>
      <c r="C6" s="2" t="s">
        <v>311</v>
      </c>
      <c r="D6" s="2" t="s">
        <v>248</v>
      </c>
      <c r="E6" s="2">
        <v>0.79</v>
      </c>
      <c r="F6" s="2">
        <v>0.205</v>
      </c>
      <c r="G6" s="2" t="b">
        <v>1</v>
      </c>
      <c r="H6" s="2" t="b">
        <v>0</v>
      </c>
      <c r="I6" s="2" t="b">
        <v>1</v>
      </c>
      <c r="J6" s="2" t="b">
        <v>1</v>
      </c>
      <c r="K6" s="2" t="b">
        <v>1</v>
      </c>
      <c r="L6" s="2" t="s">
        <v>303</v>
      </c>
      <c r="M6" s="2" t="s">
        <v>304</v>
      </c>
      <c r="N6" s="3" t="str">
        <f>B6</f>
        <v>ev-b-2</v>
      </c>
      <c r="O6" s="3" t="str">
        <f>INDEX(CausalMechanisms!L2:L999, MATCH(C6,CausalMechanisms!A2:A999, 0))</f>
        <v>/intake/new-patient/okafor-bili/mechanisms/cm-b</v>
      </c>
      <c r="P6" s="3" t="str">
        <f>O6 &amp; "/evidence/" &amp; A6</f>
        <v>/intake/new-patient/okafor-bili/mechanisms/cm-b/evidence/ev-b-2</v>
      </c>
      <c r="Q6" s="3" t="b">
        <f>INDEX(OmicsAssays!P2:P999, MATCH(D6,OmicsAssays!A2:A999, 0))</f>
        <v>1</v>
      </c>
      <c r="R6" s="3">
        <f>IF(F6 &gt; 0, E6 / F6, 0)</f>
        <v>3.853658536585366</v>
      </c>
      <c r="S6" s="3" t="b">
        <f>IF(AND(I6, J6), TRUE(), FALSE())</f>
        <v>1</v>
      </c>
      <c r="T6" s="3" t="b">
        <f>IF(AND(Q6, NOT(H6), R6 &gt;= 2, S6), TRUE(), FALSE())</f>
        <v>1</v>
      </c>
      <c r="U6" s="2" t="s">
        <v>314</v>
      </c>
    </row>
    <row r="7">
      <c r="A7" s="2" t="s">
        <v>315</v>
      </c>
      <c r="B7" s="2" t="s">
        <v>315</v>
      </c>
      <c r="C7" s="2" t="s">
        <v>311</v>
      </c>
      <c r="D7" s="2" t="s">
        <v>249</v>
      </c>
      <c r="E7" s="2">
        <v>0.58</v>
      </c>
      <c r="F7" s="2">
        <v>0.205</v>
      </c>
      <c r="G7" s="2" t="b">
        <v>1</v>
      </c>
      <c r="H7" s="2" t="b">
        <v>0</v>
      </c>
      <c r="I7" s="2" t="b">
        <v>1</v>
      </c>
      <c r="J7" s="2" t="b">
        <v>1</v>
      </c>
      <c r="K7" s="2" t="b">
        <v>1</v>
      </c>
      <c r="L7" s="2" t="s">
        <v>307</v>
      </c>
      <c r="M7" s="2" t="s">
        <v>308</v>
      </c>
      <c r="N7" s="3" t="str">
        <f>B7</f>
        <v>ev-b-3</v>
      </c>
      <c r="O7" s="3" t="str">
        <f>INDEX(CausalMechanisms!L2:L999, MATCH(C7,CausalMechanisms!A2:A999, 0))</f>
        <v>/intake/new-patient/okafor-bili/mechanisms/cm-b</v>
      </c>
      <c r="P7" s="3" t="str">
        <f>O7 &amp; "/evidence/" &amp; A7</f>
        <v>/intake/new-patient/okafor-bili/mechanisms/cm-b/evidence/ev-b-3</v>
      </c>
      <c r="Q7" s="3" t="b">
        <f>INDEX(OmicsAssays!P2:P999, MATCH(D7,OmicsAssays!A2:A999, 0))</f>
        <v>1</v>
      </c>
      <c r="R7" s="3">
        <f>IF(F7 &gt; 0, E7 / F7, 0)</f>
        <v>2.8292682926829267</v>
      </c>
      <c r="S7" s="3" t="b">
        <f>IF(AND(I7, J7), TRUE(), FALSE())</f>
        <v>1</v>
      </c>
      <c r="T7" s="3" t="b">
        <f>IF(AND(Q7, NOT(H7), R7 &gt;= 2, S7), TRUE(), FALSE())</f>
        <v>1</v>
      </c>
      <c r="U7" s="2" t="s">
        <v>316</v>
      </c>
    </row>
    <row r="8">
      <c r="A8" s="2" t="s">
        <v>317</v>
      </c>
      <c r="B8" s="2" t="s">
        <v>317</v>
      </c>
      <c r="C8" s="2" t="s">
        <v>318</v>
      </c>
      <c r="D8" s="2" t="s">
        <v>250</v>
      </c>
      <c r="E8" s="2">
        <v>1.02</v>
      </c>
      <c r="F8" s="2">
        <v>0.225</v>
      </c>
      <c r="G8" s="2" t="b">
        <v>0</v>
      </c>
      <c r="H8" s="2" t="b">
        <v>0</v>
      </c>
      <c r="I8" s="2" t="b">
        <v>1</v>
      </c>
      <c r="J8" s="2" t="b">
        <v>1</v>
      </c>
      <c r="K8" s="2" t="b">
        <v>1</v>
      </c>
      <c r="L8" s="2" t="s">
        <v>299</v>
      </c>
      <c r="M8" s="2" t="s">
        <v>300</v>
      </c>
      <c r="N8" s="3" t="str">
        <f>B8</f>
        <v>ev-c-1</v>
      </c>
      <c r="O8" s="3" t="str">
        <f>INDEX(CausalMechanisms!L2:L999, MATCH(C8,CausalMechanisms!A2:A999, 0))</f>
        <v>/intake/new-patient/wei-chen/mechanisms/cm-c</v>
      </c>
      <c r="P8" s="3" t="str">
        <f>O8 &amp; "/evidence/" &amp; A8</f>
        <v>/intake/new-patient/wei-chen/mechanisms/cm-c/evidence/ev-c-1</v>
      </c>
      <c r="Q8" s="3" t="b">
        <f>INDEX(OmicsAssays!P2:P999, MATCH(D8,OmicsAssays!A2:A999, 0))</f>
        <v>1</v>
      </c>
      <c r="R8" s="3">
        <f>IF(F8 &gt; 0, E8 / F8, 0)</f>
        <v>4.533333333333333</v>
      </c>
      <c r="S8" s="3" t="b">
        <f>IF(AND(I8, J8), TRUE(), FALSE())</f>
        <v>1</v>
      </c>
      <c r="T8" s="3" t="b">
        <f>IF(AND(Q8, NOT(H8), R8 &gt;= 2, S8), TRUE(), FALSE())</f>
        <v>1</v>
      </c>
      <c r="U8" s="2" t="s">
        <v>319</v>
      </c>
    </row>
    <row r="9">
      <c r="A9" s="2" t="s">
        <v>320</v>
      </c>
      <c r="B9" s="2" t="s">
        <v>320</v>
      </c>
      <c r="C9" s="2" t="s">
        <v>318</v>
      </c>
      <c r="D9" s="2" t="s">
        <v>251</v>
      </c>
      <c r="E9" s="2">
        <v>0.61</v>
      </c>
      <c r="F9" s="2">
        <v>0.205</v>
      </c>
      <c r="G9" s="2" t="b">
        <v>1</v>
      </c>
      <c r="H9" s="2" t="b">
        <v>0</v>
      </c>
      <c r="I9" s="2" t="b">
        <v>1</v>
      </c>
      <c r="J9" s="2" t="b">
        <v>1</v>
      </c>
      <c r="K9" s="2" t="b">
        <v>1</v>
      </c>
      <c r="L9" s="2" t="s">
        <v>303</v>
      </c>
      <c r="M9" s="2" t="s">
        <v>304</v>
      </c>
      <c r="N9" s="3" t="str">
        <f>B9</f>
        <v>ev-c-2</v>
      </c>
      <c r="O9" s="3" t="str">
        <f>INDEX(CausalMechanisms!L2:L999, MATCH(C9,CausalMechanisms!A2:A999, 0))</f>
        <v>/intake/new-patient/wei-chen/mechanisms/cm-c</v>
      </c>
      <c r="P9" s="3" t="str">
        <f>O9 &amp; "/evidence/" &amp; A9</f>
        <v>/intake/new-patient/wei-chen/mechanisms/cm-c/evidence/ev-c-2</v>
      </c>
      <c r="Q9" s="3" t="b">
        <f>INDEX(OmicsAssays!P2:P999, MATCH(D9,OmicsAssays!A2:A999, 0))</f>
        <v>1</v>
      </c>
      <c r="R9" s="3">
        <f>IF(F9 &gt; 0, E9 / F9, 0)</f>
        <v>2.975609756097561</v>
      </c>
      <c r="S9" s="3" t="b">
        <f>IF(AND(I9, J9), TRUE(), FALSE())</f>
        <v>1</v>
      </c>
      <c r="T9" s="3" t="b">
        <f>IF(AND(Q9, NOT(H9), R9 &gt;= 2, S9), TRUE(), FALSE())</f>
        <v>1</v>
      </c>
      <c r="U9" s="2" t="s">
        <v>321</v>
      </c>
    </row>
    <row r="10">
      <c r="A10" s="2" t="s">
        <v>322</v>
      </c>
      <c r="B10" s="2" t="s">
        <v>322</v>
      </c>
      <c r="C10" s="2" t="s">
        <v>318</v>
      </c>
      <c r="D10" s="2" t="s">
        <v>252</v>
      </c>
      <c r="E10" s="2">
        <v>0.55</v>
      </c>
      <c r="F10" s="2">
        <v>0.215</v>
      </c>
      <c r="G10" s="2" t="b">
        <v>1</v>
      </c>
      <c r="H10" s="2" t="b">
        <v>0</v>
      </c>
      <c r="I10" s="2" t="b">
        <v>1</v>
      </c>
      <c r="J10" s="2" t="b">
        <v>1</v>
      </c>
      <c r="K10" s="2" t="b">
        <v>1</v>
      </c>
      <c r="L10" s="2" t="s">
        <v>307</v>
      </c>
      <c r="M10" s="2" t="s">
        <v>308</v>
      </c>
      <c r="N10" s="3" t="str">
        <f>B10</f>
        <v>ev-c-3</v>
      </c>
      <c r="O10" s="3" t="str">
        <f>INDEX(CausalMechanisms!L2:L999, MATCH(C10,CausalMechanisms!A2:A999, 0))</f>
        <v>/intake/new-patient/wei-chen/mechanisms/cm-c</v>
      </c>
      <c r="P10" s="3" t="str">
        <f>O10 &amp; "/evidence/" &amp; A10</f>
        <v>/intake/new-patient/wei-chen/mechanisms/cm-c/evidence/ev-c-3</v>
      </c>
      <c r="Q10" s="3" t="b">
        <f>INDEX(OmicsAssays!P2:P999, MATCH(D10,OmicsAssays!A2:A999, 0))</f>
        <v>1</v>
      </c>
      <c r="R10" s="3">
        <f>IF(F10 &gt; 0, E10 / F10, 0)</f>
        <v>2.558139534883721</v>
      </c>
      <c r="S10" s="3" t="b">
        <f>IF(AND(I10, J10), TRUE(), FALSE())</f>
        <v>1</v>
      </c>
      <c r="T10" s="3" t="b">
        <f>IF(AND(Q10, NOT(H10), R10 &gt;= 2, S10), TRUE(), FALSE())</f>
        <v>1</v>
      </c>
      <c r="U10" s="2" t="s">
        <v>323</v>
      </c>
    </row>
    <row r="11">
      <c r="A11" s="2" t="s">
        <v>324</v>
      </c>
      <c r="B11" s="2" t="s">
        <v>324</v>
      </c>
      <c r="C11" s="2" t="s">
        <v>325</v>
      </c>
      <c r="D11" s="2" t="s">
        <v>253</v>
      </c>
      <c r="E11" s="2">
        <v>0.88</v>
      </c>
      <c r="F11" s="2">
        <v>0.205</v>
      </c>
      <c r="G11" s="2" t="b">
        <v>0</v>
      </c>
      <c r="H11" s="2" t="b">
        <v>0</v>
      </c>
      <c r="I11" s="2" t="b">
        <v>1</v>
      </c>
      <c r="J11" s="2" t="b">
        <v>1</v>
      </c>
      <c r="K11" s="2" t="b">
        <v>1</v>
      </c>
      <c r="L11" s="2" t="s">
        <v>299</v>
      </c>
      <c r="M11" s="2" t="s">
        <v>300</v>
      </c>
      <c r="N11" s="3" t="str">
        <f>B11</f>
        <v>ev-d-1</v>
      </c>
      <c r="O11" s="3" t="str">
        <f>INDEX(CausalMechanisms!L2:L999, MATCH(C11,CausalMechanisms!A2:A999, 0))</f>
        <v>/intake/new-patient/santos-diego/mechanisms/cm-d</v>
      </c>
      <c r="P11" s="3" t="str">
        <f>O11 &amp; "/evidence/" &amp; A11</f>
        <v>/intake/new-patient/santos-diego/mechanisms/cm-d/evidence/ev-d-1</v>
      </c>
      <c r="Q11" s="3" t="b">
        <f>INDEX(OmicsAssays!P2:P999, MATCH(D11,OmicsAssays!A2:A999, 0))</f>
        <v>1</v>
      </c>
      <c r="R11" s="3">
        <f>IF(F11 &gt; 0, E11 / F11, 0)</f>
        <v>4.2926829268292686</v>
      </c>
      <c r="S11" s="3" t="b">
        <f>IF(AND(I11, J11), TRUE(), FALSE())</f>
        <v>1</v>
      </c>
      <c r="T11" s="3" t="b">
        <f>IF(AND(Q11, NOT(H11), R11 &gt;= 2, S11), TRUE(), FALSE())</f>
        <v>1</v>
      </c>
      <c r="U11" s="2" t="s">
        <v>326</v>
      </c>
    </row>
    <row r="12">
      <c r="A12" s="2" t="s">
        <v>327</v>
      </c>
      <c r="B12" s="2" t="s">
        <v>327</v>
      </c>
      <c r="C12" s="2" t="s">
        <v>325</v>
      </c>
      <c r="D12" s="2" t="s">
        <v>254</v>
      </c>
      <c r="E12" s="2">
        <v>0.95</v>
      </c>
      <c r="F12" s="2">
        <v>0.21</v>
      </c>
      <c r="G12" s="2" t="b">
        <v>1</v>
      </c>
      <c r="H12" s="2" t="b">
        <v>0</v>
      </c>
      <c r="I12" s="2" t="b">
        <v>1</v>
      </c>
      <c r="J12" s="2" t="b">
        <v>1</v>
      </c>
      <c r="K12" s="2" t="b">
        <v>1</v>
      </c>
      <c r="L12" s="2" t="s">
        <v>303</v>
      </c>
      <c r="M12" s="2" t="s">
        <v>304</v>
      </c>
      <c r="N12" s="3" t="str">
        <f>B12</f>
        <v>ev-d-2</v>
      </c>
      <c r="O12" s="3" t="str">
        <f>INDEX(CausalMechanisms!L2:L999, MATCH(C12,CausalMechanisms!A2:A999, 0))</f>
        <v>/intake/new-patient/santos-diego/mechanisms/cm-d</v>
      </c>
      <c r="P12" s="3" t="str">
        <f>O12 &amp; "/evidence/" &amp; A12</f>
        <v>/intake/new-patient/santos-diego/mechanisms/cm-d/evidence/ev-d-2</v>
      </c>
      <c r="Q12" s="3" t="b">
        <f>INDEX(OmicsAssays!P2:P999, MATCH(D12,OmicsAssays!A2:A999, 0))</f>
        <v>1</v>
      </c>
      <c r="R12" s="3">
        <f>IF(F12 &gt; 0, E12 / F12, 0)</f>
        <v>4.523809523809524</v>
      </c>
      <c r="S12" s="3" t="b">
        <f>IF(AND(I12, J12), TRUE(), FALSE())</f>
        <v>1</v>
      </c>
      <c r="T12" s="3" t="b">
        <f>IF(AND(Q12, NOT(H12), R12 &gt;= 2, S12), TRUE(), FALSE())</f>
        <v>1</v>
      </c>
      <c r="U12" s="2" t="s">
        <v>328</v>
      </c>
    </row>
    <row r="13">
      <c r="A13" s="2" t="s">
        <v>329</v>
      </c>
      <c r="B13" s="2" t="s">
        <v>329</v>
      </c>
      <c r="C13" s="2" t="s">
        <v>325</v>
      </c>
      <c r="D13" s="2" t="s">
        <v>255</v>
      </c>
      <c r="E13" s="2">
        <v>0.62</v>
      </c>
      <c r="F13" s="2">
        <v>0.205</v>
      </c>
      <c r="G13" s="2" t="b">
        <v>1</v>
      </c>
      <c r="H13" s="2" t="b">
        <v>0</v>
      </c>
      <c r="I13" s="2" t="b">
        <v>1</v>
      </c>
      <c r="J13" s="2" t="b">
        <v>1</v>
      </c>
      <c r="K13" s="2" t="b">
        <v>1</v>
      </c>
      <c r="L13" s="2" t="s">
        <v>307</v>
      </c>
      <c r="M13" s="2" t="s">
        <v>308</v>
      </c>
      <c r="N13" s="3" t="str">
        <f>B13</f>
        <v>ev-d-3</v>
      </c>
      <c r="O13" s="3" t="str">
        <f>INDEX(CausalMechanisms!L2:L999, MATCH(C13,CausalMechanisms!A2:A999, 0))</f>
        <v>/intake/new-patient/santos-diego/mechanisms/cm-d</v>
      </c>
      <c r="P13" s="3" t="str">
        <f>O13 &amp; "/evidence/" &amp; A13</f>
        <v>/intake/new-patient/santos-diego/mechanisms/cm-d/evidence/ev-d-3</v>
      </c>
      <c r="Q13" s="3" t="b">
        <f>INDEX(OmicsAssays!P2:P999, MATCH(D13,OmicsAssays!A2:A999, 0))</f>
        <v>1</v>
      </c>
      <c r="R13" s="3">
        <f>IF(F13 &gt; 0, E13 / F13, 0)</f>
        <v>3.024390243902439</v>
      </c>
      <c r="S13" s="3" t="b">
        <f>IF(AND(I13, J13), TRUE(), FALSE())</f>
        <v>1</v>
      </c>
      <c r="T13" s="3" t="b">
        <f>IF(AND(Q13, NOT(H13), R13 &gt;= 2, S13), TRUE(), FALSE())</f>
        <v>1</v>
      </c>
      <c r="U13" s="2" t="s">
        <v>330</v>
      </c>
    </row>
    <row r="14">
      <c r="A14" s="2" t="s">
        <v>331</v>
      </c>
      <c r="B14" s="2" t="s">
        <v>331</v>
      </c>
      <c r="C14" s="2" t="s">
        <v>332</v>
      </c>
      <c r="D14" s="2" t="s">
        <v>256</v>
      </c>
      <c r="E14" s="2">
        <v>0.79</v>
      </c>
      <c r="F14" s="2">
        <v>0.21</v>
      </c>
      <c r="G14" s="2" t="b">
        <v>0</v>
      </c>
      <c r="H14" s="2" t="b">
        <v>0</v>
      </c>
      <c r="I14" s="2" t="b">
        <v>1</v>
      </c>
      <c r="J14" s="2" t="b">
        <v>1</v>
      </c>
      <c r="K14" s="2" t="b">
        <v>1</v>
      </c>
      <c r="L14" s="2" t="s">
        <v>299</v>
      </c>
      <c r="M14" s="2" t="s">
        <v>300</v>
      </c>
      <c r="N14" s="3" t="str">
        <f>B14</f>
        <v>ev-e-1</v>
      </c>
      <c r="O14" s="3" t="str">
        <f>INDEX(CausalMechanisms!L2:L999, MATCH(C14,CausalMechanisms!A2:A999, 0))</f>
        <v>/intake/new-patient/mensah-esi/mechanisms/cm-e</v>
      </c>
      <c r="P14" s="3" t="str">
        <f>O14 &amp; "/evidence/" &amp; A14</f>
        <v>/intake/new-patient/mensah-esi/mechanisms/cm-e/evidence/ev-e-1</v>
      </c>
      <c r="Q14" s="3" t="b">
        <f>INDEX(OmicsAssays!P2:P999, MATCH(D14,OmicsAssays!A2:A999, 0))</f>
        <v>1</v>
      </c>
      <c r="R14" s="3">
        <f>IF(F14 &gt; 0, E14 / F14, 0)</f>
        <v>3.7619047619047623</v>
      </c>
      <c r="S14" s="3" t="b">
        <f>IF(AND(I14, J14), TRUE(), FALSE())</f>
        <v>1</v>
      </c>
      <c r="T14" s="3" t="b">
        <f>IF(AND(Q14, NOT(H14), R14 &gt;= 2, S14), TRUE(), FALSE())</f>
        <v>1</v>
      </c>
      <c r="U14" s="2" t="s">
        <v>333</v>
      </c>
    </row>
    <row r="15">
      <c r="A15" s="2" t="s">
        <v>334</v>
      </c>
      <c r="B15" s="2" t="s">
        <v>334</v>
      </c>
      <c r="C15" s="2" t="s">
        <v>332</v>
      </c>
      <c r="D15" s="2" t="s">
        <v>257</v>
      </c>
      <c r="E15" s="2">
        <v>0.71</v>
      </c>
      <c r="F15" s="2">
        <v>0.205</v>
      </c>
      <c r="G15" s="2" t="b">
        <v>1</v>
      </c>
      <c r="H15" s="2" t="b">
        <v>0</v>
      </c>
      <c r="I15" s="2" t="b">
        <v>1</v>
      </c>
      <c r="J15" s="2" t="b">
        <v>1</v>
      </c>
      <c r="K15" s="2" t="b">
        <v>1</v>
      </c>
      <c r="L15" s="2" t="s">
        <v>303</v>
      </c>
      <c r="M15" s="2" t="s">
        <v>304</v>
      </c>
      <c r="N15" s="3" t="str">
        <f>B15</f>
        <v>ev-e-2</v>
      </c>
      <c r="O15" s="3" t="str">
        <f>INDEX(CausalMechanisms!L2:L999, MATCH(C15,CausalMechanisms!A2:A999, 0))</f>
        <v>/intake/new-patient/mensah-esi/mechanisms/cm-e</v>
      </c>
      <c r="P15" s="3" t="str">
        <f>O15 &amp; "/evidence/" &amp; A15</f>
        <v>/intake/new-patient/mensah-esi/mechanisms/cm-e/evidence/ev-e-2</v>
      </c>
      <c r="Q15" s="3" t="b">
        <f>INDEX(OmicsAssays!P2:P999, MATCH(D15,OmicsAssays!A2:A999, 0))</f>
        <v>1</v>
      </c>
      <c r="R15" s="3">
        <f>IF(F15 &gt; 0, E15 / F15, 0)</f>
        <v>3.4634146341463414</v>
      </c>
      <c r="S15" s="3" t="b">
        <f>IF(AND(I15, J15), TRUE(), FALSE())</f>
        <v>1</v>
      </c>
      <c r="T15" s="3" t="b">
        <f>IF(AND(Q15, NOT(H15), R15 &gt;= 2, S15), TRUE(), FALSE())</f>
        <v>1</v>
      </c>
      <c r="U15" s="2" t="s">
        <v>335</v>
      </c>
    </row>
    <row r="16">
      <c r="A16" s="2" t="s">
        <v>336</v>
      </c>
      <c r="B16" s="2" t="s">
        <v>336</v>
      </c>
      <c r="C16" s="2" t="s">
        <v>332</v>
      </c>
      <c r="D16" s="2" t="s">
        <v>258</v>
      </c>
      <c r="E16" s="2">
        <v>0.41</v>
      </c>
      <c r="F16" s="2">
        <v>0.2</v>
      </c>
      <c r="G16" s="2" t="b">
        <v>1</v>
      </c>
      <c r="H16" s="2" t="b">
        <v>0</v>
      </c>
      <c r="I16" s="2" t="b">
        <v>1</v>
      </c>
      <c r="J16" s="2" t="b">
        <v>1</v>
      </c>
      <c r="K16" s="2" t="b">
        <v>1</v>
      </c>
      <c r="L16" s="2" t="s">
        <v>307</v>
      </c>
      <c r="M16" s="2" t="s">
        <v>308</v>
      </c>
      <c r="N16" s="3" t="str">
        <f>B16</f>
        <v>ev-e-3</v>
      </c>
      <c r="O16" s="3" t="str">
        <f>INDEX(CausalMechanisms!L2:L999, MATCH(C16,CausalMechanisms!A2:A999, 0))</f>
        <v>/intake/new-patient/mensah-esi/mechanisms/cm-e</v>
      </c>
      <c r="P16" s="3" t="str">
        <f>O16 &amp; "/evidence/" &amp; A16</f>
        <v>/intake/new-patient/mensah-esi/mechanisms/cm-e/evidence/ev-e-3</v>
      </c>
      <c r="Q16" s="3" t="b">
        <f>INDEX(OmicsAssays!P2:P999, MATCH(D16,OmicsAssays!A2:A999, 0))</f>
        <v>1</v>
      </c>
      <c r="R16" s="3">
        <f>IF(F16 &gt; 0, E16 / F16, 0)</f>
        <v>2.05</v>
      </c>
      <c r="S16" s="3" t="b">
        <f>IF(AND(I16, J16), TRUE(), FALSE())</f>
        <v>1</v>
      </c>
      <c r="T16" s="3" t="b">
        <f>IF(AND(Q16, NOT(H16), R16 &gt;= 2, S16), TRUE(), FALSE())</f>
        <v>1</v>
      </c>
      <c r="U16" s="2" t="s">
        <v>337</v>
      </c>
    </row>
    <row r="17">
      <c r="A17" s="2" t="s">
        <v>338</v>
      </c>
      <c r="B17" s="2" t="s">
        <v>338</v>
      </c>
      <c r="C17" s="2" t="s">
        <v>339</v>
      </c>
      <c r="D17" s="2" t="s">
        <v>259</v>
      </c>
      <c r="E17" s="2">
        <v>1.07</v>
      </c>
      <c r="F17" s="2">
        <v>0.205</v>
      </c>
      <c r="G17" s="2" t="b">
        <v>0</v>
      </c>
      <c r="H17" s="2" t="b">
        <v>0</v>
      </c>
      <c r="I17" s="2" t="b">
        <v>1</v>
      </c>
      <c r="J17" s="2" t="b">
        <v>1</v>
      </c>
      <c r="K17" s="2" t="b">
        <v>1</v>
      </c>
      <c r="L17" s="2" t="s">
        <v>299</v>
      </c>
      <c r="M17" s="2" t="s">
        <v>300</v>
      </c>
      <c r="N17" s="3" t="str">
        <f>B17</f>
        <v>ev-f-1</v>
      </c>
      <c r="O17" s="3" t="str">
        <f>INDEX(CausalMechanisms!L2:L999, MATCH(C17,CausalMechanisms!A2:A999, 0))</f>
        <v>/intake/new-patient/haidar-faisal/mechanisms/cm-f</v>
      </c>
      <c r="P17" s="3" t="str">
        <f>O17 &amp; "/evidence/" &amp; A17</f>
        <v>/intake/new-patient/haidar-faisal/mechanisms/cm-f/evidence/ev-f-1</v>
      </c>
      <c r="Q17" s="3" t="b">
        <f>INDEX(OmicsAssays!P2:P999, MATCH(D17,OmicsAssays!A2:A999, 0))</f>
        <v>1</v>
      </c>
      <c r="R17" s="3">
        <f>IF(F17 &gt; 0, E17 / F17, 0)</f>
        <v>5.219512195121951</v>
      </c>
      <c r="S17" s="3" t="b">
        <f>IF(AND(I17, J17), TRUE(), FALSE())</f>
        <v>1</v>
      </c>
      <c r="T17" s="3" t="b">
        <f>IF(AND(Q17, NOT(H17), R17 &gt;= 2, S17), TRUE(), FALSE())</f>
        <v>1</v>
      </c>
      <c r="U17" s="2" t="s">
        <v>340</v>
      </c>
    </row>
    <row r="18">
      <c r="A18" s="2" t="s">
        <v>341</v>
      </c>
      <c r="B18" s="2" t="s">
        <v>341</v>
      </c>
      <c r="C18" s="2" t="s">
        <v>339</v>
      </c>
      <c r="D18" s="2" t="s">
        <v>260</v>
      </c>
      <c r="E18" s="2">
        <v>0.83</v>
      </c>
      <c r="F18" s="2">
        <v>0.21</v>
      </c>
      <c r="G18" s="2" t="b">
        <v>1</v>
      </c>
      <c r="H18" s="2" t="b">
        <v>0</v>
      </c>
      <c r="I18" s="2" t="b">
        <v>1</v>
      </c>
      <c r="J18" s="2" t="b">
        <v>1</v>
      </c>
      <c r="K18" s="2" t="b">
        <v>1</v>
      </c>
      <c r="L18" s="2" t="s">
        <v>303</v>
      </c>
      <c r="M18" s="2" t="s">
        <v>304</v>
      </c>
      <c r="N18" s="3" t="str">
        <f>B18</f>
        <v>ev-f-2</v>
      </c>
      <c r="O18" s="3" t="str">
        <f>INDEX(CausalMechanisms!L2:L999, MATCH(C18,CausalMechanisms!A2:A999, 0))</f>
        <v>/intake/new-patient/haidar-faisal/mechanisms/cm-f</v>
      </c>
      <c r="P18" s="3" t="str">
        <f>O18 &amp; "/evidence/" &amp; A18</f>
        <v>/intake/new-patient/haidar-faisal/mechanisms/cm-f/evidence/ev-f-2</v>
      </c>
      <c r="Q18" s="3" t="b">
        <f>INDEX(OmicsAssays!P2:P999, MATCH(D18,OmicsAssays!A2:A999, 0))</f>
        <v>1</v>
      </c>
      <c r="R18" s="3">
        <f>IF(F18 &gt; 0, E18 / F18, 0)</f>
        <v>3.9523809523809526</v>
      </c>
      <c r="S18" s="3" t="b">
        <f>IF(AND(I18, J18), TRUE(), FALSE())</f>
        <v>1</v>
      </c>
      <c r="T18" s="3" t="b">
        <f>IF(AND(Q18, NOT(H18), R18 &gt;= 2, S18), TRUE(), FALSE())</f>
        <v>1</v>
      </c>
      <c r="U18" s="2" t="s">
        <v>342</v>
      </c>
    </row>
    <row r="19">
      <c r="A19" s="2" t="s">
        <v>343</v>
      </c>
      <c r="B19" s="2" t="s">
        <v>343</v>
      </c>
      <c r="C19" s="2" t="s">
        <v>339</v>
      </c>
      <c r="D19" s="2" t="s">
        <v>261</v>
      </c>
      <c r="E19" s="2">
        <v>0.74</v>
      </c>
      <c r="F19" s="2">
        <v>0.205</v>
      </c>
      <c r="G19" s="2" t="b">
        <v>1</v>
      </c>
      <c r="H19" s="2" t="b">
        <v>0</v>
      </c>
      <c r="I19" s="2" t="b">
        <v>1</v>
      </c>
      <c r="J19" s="2" t="b">
        <v>1</v>
      </c>
      <c r="K19" s="2" t="b">
        <v>1</v>
      </c>
      <c r="L19" s="2" t="s">
        <v>307</v>
      </c>
      <c r="M19" s="2" t="s">
        <v>308</v>
      </c>
      <c r="N19" s="3" t="str">
        <f>B19</f>
        <v>ev-f-3</v>
      </c>
      <c r="O19" s="3" t="str">
        <f>INDEX(CausalMechanisms!L2:L999, MATCH(C19,CausalMechanisms!A2:A999, 0))</f>
        <v>/intake/new-patient/haidar-faisal/mechanisms/cm-f</v>
      </c>
      <c r="P19" s="3" t="str">
        <f>O19 &amp; "/evidence/" &amp; A19</f>
        <v>/intake/new-patient/haidar-faisal/mechanisms/cm-f/evidence/ev-f-3</v>
      </c>
      <c r="Q19" s="3" t="b">
        <f>INDEX(OmicsAssays!P2:P999, MATCH(D19,OmicsAssays!A2:A999, 0))</f>
        <v>1</v>
      </c>
      <c r="R19" s="3">
        <f>IF(F19 &gt; 0, E19 / F19, 0)</f>
        <v>3.6097560975609757</v>
      </c>
      <c r="S19" s="3" t="b">
        <f>IF(AND(I19, J19), TRUE(), FALSE())</f>
        <v>1</v>
      </c>
      <c r="T19" s="3" t="b">
        <f>IF(AND(Q19, NOT(H19), R19 &gt;= 2, S19), TRUE(), FALSE())</f>
        <v>1</v>
      </c>
      <c r="U19" s="2" t="s">
        <v>344</v>
      </c>
    </row>
    <row r="20">
      <c r="A20" s="2" t="s">
        <v>345</v>
      </c>
      <c r="B20" s="2" t="s">
        <v>345</v>
      </c>
      <c r="C20" s="2" t="s">
        <v>346</v>
      </c>
      <c r="D20" s="2" t="s">
        <v>262</v>
      </c>
      <c r="E20" s="2">
        <v>0.96</v>
      </c>
      <c r="F20" s="2">
        <v>0.2</v>
      </c>
      <c r="G20" s="2" t="b">
        <v>0</v>
      </c>
      <c r="H20" s="2" t="b">
        <v>0</v>
      </c>
      <c r="I20" s="2" t="b">
        <v>1</v>
      </c>
      <c r="J20" s="2" t="b">
        <v>1</v>
      </c>
      <c r="K20" s="2" t="b">
        <v>1</v>
      </c>
      <c r="L20" s="2" t="s">
        <v>299</v>
      </c>
      <c r="M20" s="2" t="s">
        <v>300</v>
      </c>
      <c r="N20" s="3" t="str">
        <f>B20</f>
        <v>ev-g-1</v>
      </c>
      <c r="O20" s="3" t="str">
        <f>INDEX(CausalMechanisms!L2:L999, MATCH(C20,CausalMechanisms!A2:A999, 0))</f>
        <v>/intake/new-patient/lin-grace/mechanisms/cm-g</v>
      </c>
      <c r="P20" s="3" t="str">
        <f>O20 &amp; "/evidence/" &amp; A20</f>
        <v>/intake/new-patient/lin-grace/mechanisms/cm-g/evidence/ev-g-1</v>
      </c>
      <c r="Q20" s="3" t="b">
        <f>INDEX(OmicsAssays!P2:P999, MATCH(D20,OmicsAssays!A2:A999, 0))</f>
        <v>1</v>
      </c>
      <c r="R20" s="3">
        <f>IF(F20 &gt; 0, E20 / F20, 0)</f>
        <v>4.8</v>
      </c>
      <c r="S20" s="3" t="b">
        <f>IF(AND(I20, J20), TRUE(), FALSE())</f>
        <v>1</v>
      </c>
      <c r="T20" s="3" t="b">
        <f>IF(AND(Q20, NOT(H20), R20 &gt;= 2, S20), TRUE(), FALSE())</f>
        <v>1</v>
      </c>
      <c r="U20" s="2" t="s">
        <v>347</v>
      </c>
    </row>
    <row r="21">
      <c r="A21" s="2" t="s">
        <v>348</v>
      </c>
      <c r="B21" s="2" t="s">
        <v>348</v>
      </c>
      <c r="C21" s="2" t="s">
        <v>346</v>
      </c>
      <c r="D21" s="2" t="s">
        <v>263</v>
      </c>
      <c r="E21" s="2">
        <v>0.88</v>
      </c>
      <c r="F21" s="2">
        <v>0.21</v>
      </c>
      <c r="G21" s="2" t="b">
        <v>1</v>
      </c>
      <c r="H21" s="2" t="b">
        <v>0</v>
      </c>
      <c r="I21" s="2" t="b">
        <v>1</v>
      </c>
      <c r="J21" s="2" t="b">
        <v>1</v>
      </c>
      <c r="K21" s="2" t="b">
        <v>1</v>
      </c>
      <c r="L21" s="2" t="s">
        <v>303</v>
      </c>
      <c r="M21" s="2" t="s">
        <v>304</v>
      </c>
      <c r="N21" s="3" t="str">
        <f>B21</f>
        <v>ev-g-2</v>
      </c>
      <c r="O21" s="3" t="str">
        <f>INDEX(CausalMechanisms!L2:L999, MATCH(C21,CausalMechanisms!A2:A999, 0))</f>
        <v>/intake/new-patient/lin-grace/mechanisms/cm-g</v>
      </c>
      <c r="P21" s="3" t="str">
        <f>O21 &amp; "/evidence/" &amp; A21</f>
        <v>/intake/new-patient/lin-grace/mechanisms/cm-g/evidence/ev-g-2</v>
      </c>
      <c r="Q21" s="3" t="b">
        <f>INDEX(OmicsAssays!P2:P999, MATCH(D21,OmicsAssays!A2:A999, 0))</f>
        <v>1</v>
      </c>
      <c r="R21" s="3">
        <f>IF(F21 &gt; 0, E21 / F21, 0)</f>
        <v>4.190476190476191</v>
      </c>
      <c r="S21" s="3" t="b">
        <f>IF(AND(I21, J21), TRUE(), FALSE())</f>
        <v>1</v>
      </c>
      <c r="T21" s="3" t="b">
        <f>IF(AND(Q21, NOT(H21), R21 &gt;= 2, S21), TRUE(), FALSE())</f>
        <v>1</v>
      </c>
      <c r="U21" s="2" t="s">
        <v>349</v>
      </c>
    </row>
    <row r="22">
      <c r="A22" s="2" t="s">
        <v>350</v>
      </c>
      <c r="B22" s="2" t="s">
        <v>350</v>
      </c>
      <c r="C22" s="2" t="s">
        <v>346</v>
      </c>
      <c r="D22" s="2" t="s">
        <v>264</v>
      </c>
      <c r="E22" s="2">
        <v>0.69</v>
      </c>
      <c r="F22" s="2">
        <v>0.205</v>
      </c>
      <c r="G22" s="2" t="b">
        <v>1</v>
      </c>
      <c r="H22" s="2" t="b">
        <v>0</v>
      </c>
      <c r="I22" s="2" t="b">
        <v>1</v>
      </c>
      <c r="J22" s="2" t="b">
        <v>1</v>
      </c>
      <c r="K22" s="2" t="b">
        <v>1</v>
      </c>
      <c r="L22" s="2" t="s">
        <v>307</v>
      </c>
      <c r="M22" s="2" t="s">
        <v>308</v>
      </c>
      <c r="N22" s="3" t="str">
        <f>B22</f>
        <v>ev-g-3</v>
      </c>
      <c r="O22" s="3" t="str">
        <f>INDEX(CausalMechanisms!L2:L999, MATCH(C22,CausalMechanisms!A2:A999, 0))</f>
        <v>/intake/new-patient/lin-grace/mechanisms/cm-g</v>
      </c>
      <c r="P22" s="3" t="str">
        <f>O22 &amp; "/evidence/" &amp; A22</f>
        <v>/intake/new-patient/lin-grace/mechanisms/cm-g/evidence/ev-g-3</v>
      </c>
      <c r="Q22" s="3" t="b">
        <f>INDEX(OmicsAssays!P2:P999, MATCH(D22,OmicsAssays!A2:A999, 0))</f>
        <v>1</v>
      </c>
      <c r="R22" s="3">
        <f>IF(F22 &gt; 0, E22 / F22, 0)</f>
        <v>3.3658536585365852</v>
      </c>
      <c r="S22" s="3" t="b">
        <f>IF(AND(I22, J22), TRUE(), FALSE())</f>
        <v>1</v>
      </c>
      <c r="T22" s="3" t="b">
        <f>IF(AND(Q22, NOT(H22), R22 &gt;= 2, S22), TRUE(), FALSE())</f>
        <v>1</v>
      </c>
      <c r="U22" s="2" t="s">
        <v>351</v>
      </c>
    </row>
    <row r="23">
      <c r="A23" s="2" t="s">
        <v>352</v>
      </c>
      <c r="B23" s="2" t="s">
        <v>352</v>
      </c>
      <c r="C23" s="2" t="s">
        <v>353</v>
      </c>
      <c r="D23" s="2" t="s">
        <v>265</v>
      </c>
      <c r="E23" s="2">
        <v>0.91</v>
      </c>
      <c r="F23" s="2">
        <v>0.2</v>
      </c>
      <c r="G23" s="2" t="b">
        <v>0</v>
      </c>
      <c r="H23" s="2" t="b">
        <v>0</v>
      </c>
      <c r="I23" s="2" t="b">
        <v>1</v>
      </c>
      <c r="J23" s="2" t="b">
        <v>1</v>
      </c>
      <c r="K23" s="2" t="b">
        <v>1</v>
      </c>
      <c r="L23" s="2" t="s">
        <v>299</v>
      </c>
      <c r="M23" s="2" t="s">
        <v>300</v>
      </c>
      <c r="N23" s="3" t="str">
        <f>B23</f>
        <v>ev-h-1</v>
      </c>
      <c r="O23" s="3" t="str">
        <f>INDEX(CausalMechanisms!L2:L999, MATCH(C23,CausalMechanisms!A2:A999, 0))</f>
        <v>/intake/new-patient/yamamoto-hana/mechanisms/cm-h</v>
      </c>
      <c r="P23" s="3" t="str">
        <f>O23 &amp; "/evidence/" &amp; A23</f>
        <v>/intake/new-patient/yamamoto-hana/mechanisms/cm-h/evidence/ev-h-1</v>
      </c>
      <c r="Q23" s="3" t="b">
        <f>INDEX(OmicsAssays!P2:P999, MATCH(D23,OmicsAssays!A2:A999, 0))</f>
        <v>1</v>
      </c>
      <c r="R23" s="3">
        <f>IF(F23 &gt; 0, E23 / F23, 0)</f>
        <v>4.55</v>
      </c>
      <c r="S23" s="3" t="b">
        <f>IF(AND(I23, J23), TRUE(), FALSE())</f>
        <v>1</v>
      </c>
      <c r="T23" s="3" t="b">
        <f>IF(AND(Q23, NOT(H23), R23 &gt;= 2, S23), TRUE(), FALSE())</f>
        <v>1</v>
      </c>
      <c r="U23" s="2" t="s">
        <v>301</v>
      </c>
    </row>
    <row r="24">
      <c r="A24" s="2" t="s">
        <v>354</v>
      </c>
      <c r="B24" s="2" t="s">
        <v>354</v>
      </c>
      <c r="C24" s="2" t="s">
        <v>353</v>
      </c>
      <c r="D24" s="2" t="s">
        <v>266</v>
      </c>
      <c r="E24" s="2">
        <v>0.73</v>
      </c>
      <c r="F24" s="2">
        <v>0.19</v>
      </c>
      <c r="G24" s="2" t="b">
        <v>1</v>
      </c>
      <c r="H24" s="2" t="b">
        <v>0</v>
      </c>
      <c r="I24" s="2" t="b">
        <v>1</v>
      </c>
      <c r="J24" s="2" t="b">
        <v>1</v>
      </c>
      <c r="K24" s="2" t="b">
        <v>1</v>
      </c>
      <c r="L24" s="2" t="s">
        <v>303</v>
      </c>
      <c r="M24" s="2" t="s">
        <v>304</v>
      </c>
      <c r="N24" s="3" t="str">
        <f>B24</f>
        <v>ev-h-2</v>
      </c>
      <c r="O24" s="3" t="str">
        <f>INDEX(CausalMechanisms!L2:L999, MATCH(C24,CausalMechanisms!A2:A999, 0))</f>
        <v>/intake/new-patient/yamamoto-hana/mechanisms/cm-h</v>
      </c>
      <c r="P24" s="3" t="str">
        <f>O24 &amp; "/evidence/" &amp; A24</f>
        <v>/intake/new-patient/yamamoto-hana/mechanisms/cm-h/evidence/ev-h-2</v>
      </c>
      <c r="Q24" s="3" t="b">
        <f>INDEX(OmicsAssays!P2:P999, MATCH(D24,OmicsAssays!A2:A999, 0))</f>
        <v>1</v>
      </c>
      <c r="R24" s="3">
        <f>IF(F24 &gt; 0, E24 / F24, 0)</f>
        <v>3.8421052631578947</v>
      </c>
      <c r="S24" s="3" t="b">
        <f>IF(AND(I24, J24), TRUE(), FALSE())</f>
        <v>1</v>
      </c>
      <c r="T24" s="3" t="b">
        <f>IF(AND(Q24, NOT(H24), R24 &gt;= 2, S24), TRUE(), FALSE())</f>
        <v>1</v>
      </c>
      <c r="U24" s="2" t="s">
        <v>305</v>
      </c>
    </row>
    <row r="25">
      <c r="A25" s="2" t="s">
        <v>355</v>
      </c>
      <c r="B25" s="2" t="s">
        <v>355</v>
      </c>
      <c r="C25" s="2" t="s">
        <v>353</v>
      </c>
      <c r="D25" s="2" t="s">
        <v>267</v>
      </c>
      <c r="E25" s="2">
        <v>0.66</v>
      </c>
      <c r="F25" s="2">
        <v>0.205</v>
      </c>
      <c r="G25" s="2" t="b">
        <v>1</v>
      </c>
      <c r="H25" s="2" t="b">
        <v>0</v>
      </c>
      <c r="I25" s="2" t="b">
        <v>1</v>
      </c>
      <c r="J25" s="2" t="b">
        <v>1</v>
      </c>
      <c r="K25" s="2" t="b">
        <v>1</v>
      </c>
      <c r="L25" s="2" t="s">
        <v>307</v>
      </c>
      <c r="M25" s="2" t="s">
        <v>308</v>
      </c>
      <c r="N25" s="3" t="str">
        <f>B25</f>
        <v>ev-h-3</v>
      </c>
      <c r="O25" s="3" t="str">
        <f>INDEX(CausalMechanisms!L2:L999, MATCH(C25,CausalMechanisms!A2:A999, 0))</f>
        <v>/intake/new-patient/yamamoto-hana/mechanisms/cm-h</v>
      </c>
      <c r="P25" s="3" t="str">
        <f>O25 &amp; "/evidence/" &amp; A25</f>
        <v>/intake/new-patient/yamamoto-hana/mechanisms/cm-h/evidence/ev-h-3</v>
      </c>
      <c r="Q25" s="3" t="b">
        <f>INDEX(OmicsAssays!P2:P999, MATCH(D25,OmicsAssays!A2:A999, 0))</f>
        <v>1</v>
      </c>
      <c r="R25" s="3">
        <f>IF(F25 &gt; 0, E25 / F25, 0)</f>
        <v>3.2195121951219514</v>
      </c>
      <c r="S25" s="3" t="b">
        <f>IF(AND(I25, J25), TRUE(), FALSE())</f>
        <v>1</v>
      </c>
      <c r="T25" s="3" t="b">
        <f>IF(AND(Q25, NOT(H25), R25 &gt;= 2, S25), TRUE(), FALSE())</f>
        <v>1</v>
      </c>
      <c r="U25" s="2" t="s">
        <v>309</v>
      </c>
    </row>
    <row r="26">
      <c r="A26" s="2" t="s">
        <v>356</v>
      </c>
      <c r="B26" s="2" t="s">
        <v>356</v>
      </c>
      <c r="C26" s="2" t="s">
        <v>357</v>
      </c>
      <c r="D26" s="2" t="s">
        <v>268</v>
      </c>
      <c r="E26" s="2">
        <v>0.88</v>
      </c>
      <c r="F26" s="2">
        <v>0.205</v>
      </c>
      <c r="G26" s="2" t="b">
        <v>0</v>
      </c>
      <c r="H26" s="2" t="b">
        <v>0</v>
      </c>
      <c r="I26" s="2" t="b">
        <v>1</v>
      </c>
      <c r="J26" s="2" t="b">
        <v>1</v>
      </c>
      <c r="K26" s="2" t="b">
        <v>1</v>
      </c>
      <c r="L26" s="2" t="s">
        <v>299</v>
      </c>
      <c r="M26" s="2" t="s">
        <v>300</v>
      </c>
      <c r="N26" s="3" t="str">
        <f>B26</f>
        <v>ev-i-1</v>
      </c>
      <c r="O26" s="3" t="str">
        <f>INDEX(CausalMechanisms!L2:L999, MATCH(C26,CausalMechanisms!A2:A999, 0))</f>
        <v>/intake/new-patient/conteh-ibrahim/mechanisms/cm-i</v>
      </c>
      <c r="P26" s="3" t="str">
        <f>O26 &amp; "/evidence/" &amp; A26</f>
        <v>/intake/new-patient/conteh-ibrahim/mechanisms/cm-i/evidence/ev-i-1</v>
      </c>
      <c r="Q26" s="3" t="b">
        <f>INDEX(OmicsAssays!P2:P999, MATCH(D26,OmicsAssays!A2:A999, 0))</f>
        <v>1</v>
      </c>
      <c r="R26" s="3">
        <f>IF(F26 &gt; 0, E26 / F26, 0)</f>
        <v>4.2926829268292686</v>
      </c>
      <c r="S26" s="3" t="b">
        <f>IF(AND(I26, J26), TRUE(), FALSE())</f>
        <v>1</v>
      </c>
      <c r="T26" s="3" t="b">
        <f>IF(AND(Q26, NOT(H26), R26 &gt;= 2, S26), TRUE(), FALSE())</f>
        <v>1</v>
      </c>
      <c r="U26" s="2" t="s">
        <v>326</v>
      </c>
    </row>
    <row r="27">
      <c r="A27" s="2" t="s">
        <v>358</v>
      </c>
      <c r="B27" s="2" t="s">
        <v>358</v>
      </c>
      <c r="C27" s="2" t="s">
        <v>357</v>
      </c>
      <c r="D27" s="2" t="s">
        <v>269</v>
      </c>
      <c r="E27" s="2">
        <v>0.95</v>
      </c>
      <c r="F27" s="2">
        <v>0.21</v>
      </c>
      <c r="G27" s="2" t="b">
        <v>1</v>
      </c>
      <c r="H27" s="2" t="b">
        <v>0</v>
      </c>
      <c r="I27" s="2" t="b">
        <v>1</v>
      </c>
      <c r="J27" s="2" t="b">
        <v>1</v>
      </c>
      <c r="K27" s="2" t="b">
        <v>1</v>
      </c>
      <c r="L27" s="2" t="s">
        <v>303</v>
      </c>
      <c r="M27" s="2" t="s">
        <v>304</v>
      </c>
      <c r="N27" s="3" t="str">
        <f>B27</f>
        <v>ev-i-2</v>
      </c>
      <c r="O27" s="3" t="str">
        <f>INDEX(CausalMechanisms!L2:L999, MATCH(C27,CausalMechanisms!A2:A999, 0))</f>
        <v>/intake/new-patient/conteh-ibrahim/mechanisms/cm-i</v>
      </c>
      <c r="P27" s="3" t="str">
        <f>O27 &amp; "/evidence/" &amp; A27</f>
        <v>/intake/new-patient/conteh-ibrahim/mechanisms/cm-i/evidence/ev-i-2</v>
      </c>
      <c r="Q27" s="3" t="b">
        <f>INDEX(OmicsAssays!P2:P999, MATCH(D27,OmicsAssays!A2:A999, 0))</f>
        <v>1</v>
      </c>
      <c r="R27" s="3">
        <f>IF(F27 &gt; 0, E27 / F27, 0)</f>
        <v>4.523809523809524</v>
      </c>
      <c r="S27" s="3" t="b">
        <f>IF(AND(I27, J27), TRUE(), FALSE())</f>
        <v>1</v>
      </c>
      <c r="T27" s="3" t="b">
        <f>IF(AND(Q27, NOT(H27), R27 &gt;= 2, S27), TRUE(), FALSE())</f>
        <v>1</v>
      </c>
      <c r="U27" s="2" t="s">
        <v>328</v>
      </c>
    </row>
    <row r="28">
      <c r="A28" s="2" t="s">
        <v>359</v>
      </c>
      <c r="B28" s="2" t="s">
        <v>359</v>
      </c>
      <c r="C28" s="2" t="s">
        <v>357</v>
      </c>
      <c r="D28" s="2" t="s">
        <v>270</v>
      </c>
      <c r="E28" s="2">
        <v>0.62</v>
      </c>
      <c r="F28" s="2">
        <v>0.205</v>
      </c>
      <c r="G28" s="2" t="b">
        <v>1</v>
      </c>
      <c r="H28" s="2" t="b">
        <v>0</v>
      </c>
      <c r="I28" s="2" t="b">
        <v>1</v>
      </c>
      <c r="J28" s="2" t="b">
        <v>1</v>
      </c>
      <c r="K28" s="2" t="b">
        <v>1</v>
      </c>
      <c r="L28" s="2" t="s">
        <v>307</v>
      </c>
      <c r="M28" s="2" t="s">
        <v>308</v>
      </c>
      <c r="N28" s="3" t="str">
        <f>B28</f>
        <v>ev-i-3</v>
      </c>
      <c r="O28" s="3" t="str">
        <f>INDEX(CausalMechanisms!L2:L999, MATCH(C28,CausalMechanisms!A2:A999, 0))</f>
        <v>/intake/new-patient/conteh-ibrahim/mechanisms/cm-i</v>
      </c>
      <c r="P28" s="3" t="str">
        <f>O28 &amp; "/evidence/" &amp; A28</f>
        <v>/intake/new-patient/conteh-ibrahim/mechanisms/cm-i/evidence/ev-i-3</v>
      </c>
      <c r="Q28" s="3" t="b">
        <f>INDEX(OmicsAssays!P2:P999, MATCH(D28,OmicsAssays!A2:A999, 0))</f>
        <v>1</v>
      </c>
      <c r="R28" s="3">
        <f>IF(F28 &gt; 0, E28 / F28, 0)</f>
        <v>3.024390243902439</v>
      </c>
      <c r="S28" s="3" t="b">
        <f>IF(AND(I28, J28), TRUE(), FALSE())</f>
        <v>1</v>
      </c>
      <c r="T28" s="3" t="b">
        <f>IF(AND(Q28, NOT(H28), R28 &gt;= 2, S28), TRUE(), FALSE())</f>
        <v>1</v>
      </c>
      <c r="U28" s="2" t="s">
        <v>330</v>
      </c>
    </row>
    <row r="29">
      <c r="A29" s="2" t="s">
        <v>360</v>
      </c>
      <c r="B29" s="2" t="s">
        <v>360</v>
      </c>
      <c r="C29" s="2" t="s">
        <v>361</v>
      </c>
      <c r="D29" s="2" t="s">
        <v>271</v>
      </c>
      <c r="E29" s="2">
        <v>0.84</v>
      </c>
      <c r="F29" s="2">
        <v>0.21</v>
      </c>
      <c r="G29" s="2" t="b">
        <v>0</v>
      </c>
      <c r="H29" s="2" t="b">
        <v>0</v>
      </c>
      <c r="I29" s="2" t="b">
        <v>1</v>
      </c>
      <c r="J29" s="2" t="b">
        <v>1</v>
      </c>
      <c r="K29" s="2" t="b">
        <v>1</v>
      </c>
      <c r="L29" s="2" t="s">
        <v>299</v>
      </c>
      <c r="M29" s="2" t="s">
        <v>300</v>
      </c>
      <c r="N29" s="3" t="str">
        <f>B29</f>
        <v>ev-j-1</v>
      </c>
      <c r="O29" s="3" t="str">
        <f>INDEX(CausalMechanisms!L2:L999, MATCH(C29,CausalMechanisms!A2:A999, 0))</f>
        <v>/intake/new-patient/brooks-jamal/mechanisms/cm-j</v>
      </c>
      <c r="P29" s="3" t="str">
        <f>O29 &amp; "/evidence/" &amp; A29</f>
        <v>/intake/new-patient/brooks-jamal/mechanisms/cm-j/evidence/ev-j-1</v>
      </c>
      <c r="Q29" s="3" t="b">
        <f>INDEX(OmicsAssays!P2:P999, MATCH(D29,OmicsAssays!A2:A999, 0))</f>
        <v>1</v>
      </c>
      <c r="R29" s="3">
        <f>IF(F29 &gt; 0, E29 / F29, 0)</f>
        <v>4</v>
      </c>
      <c r="S29" s="3" t="b">
        <f>IF(AND(I29, J29), TRUE(), FALSE())</f>
        <v>1</v>
      </c>
      <c r="T29" s="3" t="b">
        <f>IF(AND(Q29, NOT(H29), R29 &gt;= 2, S29), TRUE(), FALSE())</f>
        <v>1</v>
      </c>
      <c r="U29" s="2" t="s">
        <v>312</v>
      </c>
    </row>
    <row r="30">
      <c r="A30" s="2" t="s">
        <v>362</v>
      </c>
      <c r="B30" s="2" t="s">
        <v>362</v>
      </c>
      <c r="C30" s="2" t="s">
        <v>361</v>
      </c>
      <c r="D30" s="2" t="s">
        <v>272</v>
      </c>
      <c r="E30" s="2">
        <v>0.79</v>
      </c>
      <c r="F30" s="2">
        <v>0.205</v>
      </c>
      <c r="G30" s="2" t="b">
        <v>1</v>
      </c>
      <c r="H30" s="2" t="b">
        <v>0</v>
      </c>
      <c r="I30" s="2" t="b">
        <v>1</v>
      </c>
      <c r="J30" s="2" t="b">
        <v>1</v>
      </c>
      <c r="K30" s="2" t="b">
        <v>1</v>
      </c>
      <c r="L30" s="2" t="s">
        <v>303</v>
      </c>
      <c r="M30" s="2" t="s">
        <v>304</v>
      </c>
      <c r="N30" s="3" t="str">
        <f>B30</f>
        <v>ev-j-2</v>
      </c>
      <c r="O30" s="3" t="str">
        <f>INDEX(CausalMechanisms!L2:L999, MATCH(C30,CausalMechanisms!A2:A999, 0))</f>
        <v>/intake/new-patient/brooks-jamal/mechanisms/cm-j</v>
      </c>
      <c r="P30" s="3" t="str">
        <f>O30 &amp; "/evidence/" &amp; A30</f>
        <v>/intake/new-patient/brooks-jamal/mechanisms/cm-j/evidence/ev-j-2</v>
      </c>
      <c r="Q30" s="3" t="b">
        <f>INDEX(OmicsAssays!P2:P999, MATCH(D30,OmicsAssays!A2:A999, 0))</f>
        <v>1</v>
      </c>
      <c r="R30" s="3">
        <f>IF(F30 &gt; 0, E30 / F30, 0)</f>
        <v>3.853658536585366</v>
      </c>
      <c r="S30" s="3" t="b">
        <f>IF(AND(I30, J30), TRUE(), FALSE())</f>
        <v>1</v>
      </c>
      <c r="T30" s="3" t="b">
        <f>IF(AND(Q30, NOT(H30), R30 &gt;= 2, S30), TRUE(), FALSE())</f>
        <v>1</v>
      </c>
      <c r="U30" s="2" t="s">
        <v>314</v>
      </c>
    </row>
    <row r="31">
      <c r="A31" s="2" t="s">
        <v>363</v>
      </c>
      <c r="B31" s="2" t="s">
        <v>363</v>
      </c>
      <c r="C31" s="2" t="s">
        <v>361</v>
      </c>
      <c r="D31" s="2" t="s">
        <v>273</v>
      </c>
      <c r="E31" s="2">
        <v>0.58</v>
      </c>
      <c r="F31" s="2">
        <v>0.205</v>
      </c>
      <c r="G31" s="2" t="b">
        <v>1</v>
      </c>
      <c r="H31" s="2" t="b">
        <v>0</v>
      </c>
      <c r="I31" s="2" t="b">
        <v>1</v>
      </c>
      <c r="J31" s="2" t="b">
        <v>1</v>
      </c>
      <c r="K31" s="2" t="b">
        <v>1</v>
      </c>
      <c r="L31" s="2" t="s">
        <v>307</v>
      </c>
      <c r="M31" s="2" t="s">
        <v>308</v>
      </c>
      <c r="N31" s="3" t="str">
        <f>B31</f>
        <v>ev-j-3</v>
      </c>
      <c r="O31" s="3" t="str">
        <f>INDEX(CausalMechanisms!L2:L999, MATCH(C31,CausalMechanisms!A2:A999, 0))</f>
        <v>/intake/new-patient/brooks-jamal/mechanisms/cm-j</v>
      </c>
      <c r="P31" s="3" t="str">
        <f>O31 &amp; "/evidence/" &amp; A31</f>
        <v>/intake/new-patient/brooks-jamal/mechanisms/cm-j/evidence/ev-j-3</v>
      </c>
      <c r="Q31" s="3" t="b">
        <f>INDEX(OmicsAssays!P2:P999, MATCH(D31,OmicsAssays!A2:A999, 0))</f>
        <v>1</v>
      </c>
      <c r="R31" s="3">
        <f>IF(F31 &gt; 0, E31 / F31, 0)</f>
        <v>2.8292682926829267</v>
      </c>
      <c r="S31" s="3" t="b">
        <f>IF(AND(I31, J31), TRUE(), FALSE())</f>
        <v>1</v>
      </c>
      <c r="T31" s="3" t="b">
        <f>IF(AND(Q31, NOT(H31), R31 &gt;= 2, S31), TRUE(), FALSE())</f>
        <v>1</v>
      </c>
      <c r="U31" s="2" t="s">
        <v>316</v>
      </c>
    </row>
    <row r="32">
      <c r="A32" s="2" t="s">
        <v>364</v>
      </c>
      <c r="B32" s="2" t="s">
        <v>364</v>
      </c>
      <c r="C32" s="2" t="s">
        <v>365</v>
      </c>
      <c r="D32" s="2" t="s">
        <v>274</v>
      </c>
      <c r="E32" s="2">
        <v>1.07</v>
      </c>
      <c r="F32" s="2">
        <v>0.205</v>
      </c>
      <c r="G32" s="2" t="b">
        <v>0</v>
      </c>
      <c r="H32" s="2" t="b">
        <v>0</v>
      </c>
      <c r="I32" s="2" t="b">
        <v>1</v>
      </c>
      <c r="J32" s="2" t="b">
        <v>1</v>
      </c>
      <c r="K32" s="2" t="b">
        <v>1</v>
      </c>
      <c r="L32" s="2" t="s">
        <v>299</v>
      </c>
      <c r="M32" s="2" t="s">
        <v>300</v>
      </c>
      <c r="N32" s="3" t="str">
        <f>B32</f>
        <v>ev-k-1</v>
      </c>
      <c r="O32" s="3" t="str">
        <f>INDEX(CausalMechanisms!L2:L999, MATCH(C32,CausalMechanisms!A2:A999, 0))</f>
        <v>/intake/new-patient/nair-kavya/mechanisms/cm-k</v>
      </c>
      <c r="P32" s="3" t="str">
        <f>O32 &amp; "/evidence/" &amp; A32</f>
        <v>/intake/new-patient/nair-kavya/mechanisms/cm-k/evidence/ev-k-1</v>
      </c>
      <c r="Q32" s="3" t="b">
        <f>INDEX(OmicsAssays!P2:P999, MATCH(D32,OmicsAssays!A2:A999, 0))</f>
        <v>1</v>
      </c>
      <c r="R32" s="3">
        <f>IF(F32 &gt; 0, E32 / F32, 0)</f>
        <v>5.219512195121951</v>
      </c>
      <c r="S32" s="3" t="b">
        <f>IF(AND(I32, J32), TRUE(), FALSE())</f>
        <v>1</v>
      </c>
      <c r="T32" s="3" t="b">
        <f>IF(AND(Q32, NOT(H32), R32 &gt;= 2, S32), TRUE(), FALSE())</f>
        <v>1</v>
      </c>
      <c r="U32" s="2" t="s">
        <v>340</v>
      </c>
    </row>
    <row r="33">
      <c r="A33" s="2" t="s">
        <v>366</v>
      </c>
      <c r="B33" s="2" t="s">
        <v>366</v>
      </c>
      <c r="C33" s="2" t="s">
        <v>365</v>
      </c>
      <c r="D33" s="2" t="s">
        <v>275</v>
      </c>
      <c r="E33" s="2">
        <v>0.83</v>
      </c>
      <c r="F33" s="2">
        <v>0.21</v>
      </c>
      <c r="G33" s="2" t="b">
        <v>1</v>
      </c>
      <c r="H33" s="2" t="b">
        <v>0</v>
      </c>
      <c r="I33" s="2" t="b">
        <v>1</v>
      </c>
      <c r="J33" s="2" t="b">
        <v>1</v>
      </c>
      <c r="K33" s="2" t="b">
        <v>1</v>
      </c>
      <c r="L33" s="2" t="s">
        <v>303</v>
      </c>
      <c r="M33" s="2" t="s">
        <v>304</v>
      </c>
      <c r="N33" s="3" t="str">
        <f>B33</f>
        <v>ev-k-2</v>
      </c>
      <c r="O33" s="3" t="str">
        <f>INDEX(CausalMechanisms!L2:L999, MATCH(C33,CausalMechanisms!A2:A999, 0))</f>
        <v>/intake/new-patient/nair-kavya/mechanisms/cm-k</v>
      </c>
      <c r="P33" s="3" t="str">
        <f>O33 &amp; "/evidence/" &amp; A33</f>
        <v>/intake/new-patient/nair-kavya/mechanisms/cm-k/evidence/ev-k-2</v>
      </c>
      <c r="Q33" s="3" t="b">
        <f>INDEX(OmicsAssays!P2:P999, MATCH(D33,OmicsAssays!A2:A999, 0))</f>
        <v>1</v>
      </c>
      <c r="R33" s="3">
        <f>IF(F33 &gt; 0, E33 / F33, 0)</f>
        <v>3.9523809523809526</v>
      </c>
      <c r="S33" s="3" t="b">
        <f>IF(AND(I33, J33), TRUE(), FALSE())</f>
        <v>1</v>
      </c>
      <c r="T33" s="3" t="b">
        <f>IF(AND(Q33, NOT(H33), R33 &gt;= 2, S33), TRUE(), FALSE())</f>
        <v>1</v>
      </c>
      <c r="U33" s="2" t="s">
        <v>342</v>
      </c>
    </row>
    <row r="34">
      <c r="A34" s="2" t="s">
        <v>367</v>
      </c>
      <c r="B34" s="2" t="s">
        <v>367</v>
      </c>
      <c r="C34" s="2" t="s">
        <v>365</v>
      </c>
      <c r="D34" s="2" t="s">
        <v>276</v>
      </c>
      <c r="E34" s="2">
        <v>0.74</v>
      </c>
      <c r="F34" s="2">
        <v>0.205</v>
      </c>
      <c r="G34" s="2" t="b">
        <v>1</v>
      </c>
      <c r="H34" s="2" t="b">
        <v>0</v>
      </c>
      <c r="I34" s="2" t="b">
        <v>1</v>
      </c>
      <c r="J34" s="2" t="b">
        <v>1</v>
      </c>
      <c r="K34" s="2" t="b">
        <v>1</v>
      </c>
      <c r="L34" s="2" t="s">
        <v>307</v>
      </c>
      <c r="M34" s="2" t="s">
        <v>308</v>
      </c>
      <c r="N34" s="3" t="str">
        <f>B34</f>
        <v>ev-k-3</v>
      </c>
      <c r="O34" s="3" t="str">
        <f>INDEX(CausalMechanisms!L2:L999, MATCH(C34,CausalMechanisms!A2:A999, 0))</f>
        <v>/intake/new-patient/nair-kavya/mechanisms/cm-k</v>
      </c>
      <c r="P34" s="3" t="str">
        <f>O34 &amp; "/evidence/" &amp; A34</f>
        <v>/intake/new-patient/nair-kavya/mechanisms/cm-k/evidence/ev-k-3</v>
      </c>
      <c r="Q34" s="3" t="b">
        <f>INDEX(OmicsAssays!P2:P999, MATCH(D34,OmicsAssays!A2:A999, 0))</f>
        <v>1</v>
      </c>
      <c r="R34" s="3">
        <f>IF(F34 &gt; 0, E34 / F34, 0)</f>
        <v>3.6097560975609757</v>
      </c>
      <c r="S34" s="3" t="b">
        <f>IF(AND(I34, J34), TRUE(), FALSE())</f>
        <v>1</v>
      </c>
      <c r="T34" s="3" t="b">
        <f>IF(AND(Q34, NOT(H34), R34 &gt;= 2, S34), TRUE(), FALSE())</f>
        <v>1</v>
      </c>
      <c r="U34" s="2" t="s">
        <v>344</v>
      </c>
    </row>
    <row r="35">
      <c r="A35" s="2" t="s">
        <v>368</v>
      </c>
      <c r="B35" s="2" t="s">
        <v>368</v>
      </c>
      <c r="C35" s="2" t="s">
        <v>369</v>
      </c>
      <c r="D35" s="2" t="s">
        <v>277</v>
      </c>
      <c r="E35" s="2">
        <v>0.96</v>
      </c>
      <c r="F35" s="2">
        <v>0.2</v>
      </c>
      <c r="G35" s="2" t="b">
        <v>0</v>
      </c>
      <c r="H35" s="2" t="b">
        <v>0</v>
      </c>
      <c r="I35" s="2" t="b">
        <v>1</v>
      </c>
      <c r="J35" s="2" t="b">
        <v>1</v>
      </c>
      <c r="K35" s="2" t="b">
        <v>1</v>
      </c>
      <c r="L35" s="2" t="s">
        <v>299</v>
      </c>
      <c r="M35" s="2" t="s">
        <v>300</v>
      </c>
      <c r="N35" s="3" t="str">
        <f>B35</f>
        <v>ev-l-1</v>
      </c>
      <c r="O35" s="3" t="str">
        <f>INDEX(CausalMechanisms!L2:L999, MATCH(C35,CausalMechanisms!A2:A999, 0))</f>
        <v>/intake/new-patient/brandt-lena/mechanisms/cm-l</v>
      </c>
      <c r="P35" s="3" t="str">
        <f>O35 &amp; "/evidence/" &amp; A35</f>
        <v>/intake/new-patient/brandt-lena/mechanisms/cm-l/evidence/ev-l-1</v>
      </c>
      <c r="Q35" s="3" t="b">
        <f>INDEX(OmicsAssays!P2:P999, MATCH(D35,OmicsAssays!A2:A999, 0))</f>
        <v>1</v>
      </c>
      <c r="R35" s="3">
        <f>IF(F35 &gt; 0, E35 / F35, 0)</f>
        <v>4.8</v>
      </c>
      <c r="S35" s="3" t="b">
        <f>IF(AND(I35, J35), TRUE(), FALSE())</f>
        <v>1</v>
      </c>
      <c r="T35" s="3" t="b">
        <f>IF(AND(Q35, NOT(H35), R35 &gt;= 2, S35), TRUE(), FALSE())</f>
        <v>1</v>
      </c>
      <c r="U35" s="2" t="s">
        <v>347</v>
      </c>
    </row>
    <row r="36">
      <c r="A36" s="2" t="s">
        <v>370</v>
      </c>
      <c r="B36" s="2" t="s">
        <v>370</v>
      </c>
      <c r="C36" s="2" t="s">
        <v>369</v>
      </c>
      <c r="D36" s="2" t="s">
        <v>278</v>
      </c>
      <c r="E36" s="2">
        <v>0.88</v>
      </c>
      <c r="F36" s="2">
        <v>0.21</v>
      </c>
      <c r="G36" s="2" t="b">
        <v>1</v>
      </c>
      <c r="H36" s="2" t="b">
        <v>0</v>
      </c>
      <c r="I36" s="2" t="b">
        <v>1</v>
      </c>
      <c r="J36" s="2" t="b">
        <v>1</v>
      </c>
      <c r="K36" s="2" t="b">
        <v>1</v>
      </c>
      <c r="L36" s="2" t="s">
        <v>303</v>
      </c>
      <c r="M36" s="2" t="s">
        <v>304</v>
      </c>
      <c r="N36" s="3" t="str">
        <f>B36</f>
        <v>ev-l-2</v>
      </c>
      <c r="O36" s="3" t="str">
        <f>INDEX(CausalMechanisms!L2:L999, MATCH(C36,CausalMechanisms!A2:A999, 0))</f>
        <v>/intake/new-patient/brandt-lena/mechanisms/cm-l</v>
      </c>
      <c r="P36" s="3" t="str">
        <f>O36 &amp; "/evidence/" &amp; A36</f>
        <v>/intake/new-patient/brandt-lena/mechanisms/cm-l/evidence/ev-l-2</v>
      </c>
      <c r="Q36" s="3" t="b">
        <f>INDEX(OmicsAssays!P2:P999, MATCH(D36,OmicsAssays!A2:A999, 0))</f>
        <v>1</v>
      </c>
      <c r="R36" s="3">
        <f>IF(F36 &gt; 0, E36 / F36, 0)</f>
        <v>4.190476190476191</v>
      </c>
      <c r="S36" s="3" t="b">
        <f>IF(AND(I36, J36), TRUE(), FALSE())</f>
        <v>1</v>
      </c>
      <c r="T36" s="3" t="b">
        <f>IF(AND(Q36, NOT(H36), R36 &gt;= 2, S36), TRUE(), FALSE())</f>
        <v>1</v>
      </c>
      <c r="U36" s="2" t="s">
        <v>349</v>
      </c>
    </row>
    <row r="37">
      <c r="A37" s="2" t="s">
        <v>371</v>
      </c>
      <c r="B37" s="2" t="s">
        <v>371</v>
      </c>
      <c r="C37" s="2" t="s">
        <v>369</v>
      </c>
      <c r="D37" s="2" t="s">
        <v>279</v>
      </c>
      <c r="E37" s="2">
        <v>0.69</v>
      </c>
      <c r="F37" s="2">
        <v>0.205</v>
      </c>
      <c r="G37" s="2" t="b">
        <v>1</v>
      </c>
      <c r="H37" s="2" t="b">
        <v>0</v>
      </c>
      <c r="I37" s="2" t="b">
        <v>1</v>
      </c>
      <c r="J37" s="2" t="b">
        <v>1</v>
      </c>
      <c r="K37" s="2" t="b">
        <v>1</v>
      </c>
      <c r="L37" s="2" t="s">
        <v>307</v>
      </c>
      <c r="M37" s="2" t="s">
        <v>308</v>
      </c>
      <c r="N37" s="3" t="str">
        <f>B37</f>
        <v>ev-l-3</v>
      </c>
      <c r="O37" s="3" t="str">
        <f>INDEX(CausalMechanisms!L2:L999, MATCH(C37,CausalMechanisms!A2:A999, 0))</f>
        <v>/intake/new-patient/brandt-lena/mechanisms/cm-l</v>
      </c>
      <c r="P37" s="3" t="str">
        <f>O37 &amp; "/evidence/" &amp; A37</f>
        <v>/intake/new-patient/brandt-lena/mechanisms/cm-l/evidence/ev-l-3</v>
      </c>
      <c r="Q37" s="3" t="b">
        <f>INDEX(OmicsAssays!P2:P999, MATCH(D37,OmicsAssays!A2:A999, 0))</f>
        <v>1</v>
      </c>
      <c r="R37" s="3">
        <f>IF(F37 &gt; 0, E37 / F37, 0)</f>
        <v>3.3658536585365852</v>
      </c>
      <c r="S37" s="3" t="b">
        <f>IF(AND(I37, J37), TRUE(), FALSE())</f>
        <v>1</v>
      </c>
      <c r="T37" s="3" t="b">
        <f>IF(AND(Q37, NOT(H37), R37 &gt;= 2, S37), TRUE(), FALSE())</f>
        <v>1</v>
      </c>
      <c r="U37" s="2" t="s">
        <v>351</v>
      </c>
    </row>
  </sheetData>
  <autoFilter ref="A1:U1"/>
  <headerFooter/>
  <legacyDrawing r:id="rId1"/>
</worksheet>
</file>

<file path=xl/worksheets/sheet1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37"/>
  <sheetViews>
    <sheetView workbookViewId="0">
      <pane ySplit="1" topLeftCell="A2" state="frozen" activePane="bottomLeft"/>
      <selection pane="bottomLeft" activeCell="A1" sqref="A1"/>
    </sheetView>
  </sheetViews>
  <sheetFormatPr defaultRowHeight="15"/>
  <cols>
    <col min="1" max="1" width="20.207433700561523" customWidth="1"/>
    <col min="2" max="2" width="17.443378448486328" customWidth="1"/>
    <col min="3" max="3" width="17.92210578918457" customWidth="1"/>
    <col min="4" max="4" width="18.099525451660156" customWidth="1"/>
    <col min="5" max="5" width="21.200471878051758" customWidth="1"/>
    <col min="6" max="6" width="18.021081924438477" customWidth="1"/>
    <col min="7" max="7" width="24.592411041259766" customWidth="1"/>
    <col min="8" max="8" width="17.443378448486328" customWidth="1"/>
    <col min="9" max="9" width="53.756568908691406" customWidth="1"/>
    <col min="10" max="10" width="73.49361419677734" customWidth="1"/>
    <col min="11" max="11" width="23.512296676635742" customWidth="1"/>
    <col min="12" max="12" width="26.897235870361328" customWidth="1"/>
    <col min="13" max="13" width="29.285446166992188" customWidth="1"/>
    <col min="14" max="14" width="27.1860294342041" customWidth="1"/>
    <col min="15" max="15" width="71.75559997558594" customWidth="1"/>
  </cols>
  <sheetData>
    <row r="1">
      <c r="A1" s="1" t="s">
        <v>372</v>
      </c>
      <c r="B1" s="1" t="s">
        <v>373</v>
      </c>
      <c r="C1" s="1" t="s">
        <v>282</v>
      </c>
      <c r="D1" s="1" t="s">
        <v>108</v>
      </c>
      <c r="E1" s="1" t="s">
        <v>374</v>
      </c>
      <c r="F1" s="1" t="s">
        <v>375</v>
      </c>
      <c r="G1" s="1" t="s">
        <v>376</v>
      </c>
      <c r="H1" s="1" t="s">
        <v>3</v>
      </c>
      <c r="I1" s="1" t="s">
        <v>23</v>
      </c>
      <c r="J1" s="1" t="s">
        <v>4</v>
      </c>
      <c r="K1" s="1" t="s">
        <v>377</v>
      </c>
      <c r="L1" s="1" t="s">
        <v>378</v>
      </c>
      <c r="M1" s="1" t="s">
        <v>379</v>
      </c>
      <c r="N1" s="1" t="s">
        <v>380</v>
      </c>
      <c r="O1" s="1" t="s">
        <v>210</v>
      </c>
    </row>
    <row r="2">
      <c r="A2" s="2" t="s">
        <v>381</v>
      </c>
      <c r="B2" s="2" t="s">
        <v>381</v>
      </c>
      <c r="C2" s="2" t="s">
        <v>298</v>
      </c>
      <c r="D2" s="2" t="s">
        <v>78</v>
      </c>
      <c r="E2" s="5">
        <v>1</v>
      </c>
      <c r="F2" s="2">
        <v>0.004</v>
      </c>
      <c r="G2" s="2" t="s">
        <v>157</v>
      </c>
      <c r="H2" s="3" t="str">
        <f>B2</f>
        <v>rep-a-1</v>
      </c>
      <c r="I2" s="3" t="str">
        <f>INDEX(CausalMechanisms!L2:L999, MATCH(C2,CausalMechanisms!A2:A999, 0))</f>
        <v>/intake/new-patient/reyes-ana/mechanisms/cm-a</v>
      </c>
      <c r="J2" s="3" t="str">
        <f>I2 &amp; "/replications/" &amp; A2</f>
        <v>/intake/new-patient/reyes-ana/mechanisms/cm-a/replications/rep-a-1</v>
      </c>
      <c r="K2" s="3" t="b">
        <f>IF(AND(F2 &lt;= 0.05, E2 = 1), TRUE(), FALSE())</f>
        <v>1</v>
      </c>
      <c r="L2" s="3" t="str">
        <f>INDEX(CausalMechanisms!M2:M999, MATCH(C2,CausalMechanisms!A2:A999, 0))</f>
        <v>European</v>
      </c>
      <c r="M2" s="3" t="b">
        <f>IF(G2 = L2, FALSE(), TRUE())</f>
        <v>1</v>
      </c>
      <c r="N2" s="3" t="b">
        <f>IF(AND(K2, M2), TRUE(), FALSE())</f>
        <v>1</v>
      </c>
      <c r="O2" s="2" t="s">
        <v>382</v>
      </c>
    </row>
    <row r="3">
      <c r="A3" s="2" t="s">
        <v>383</v>
      </c>
      <c r="B3" s="2" t="s">
        <v>383</v>
      </c>
      <c r="C3" s="2" t="s">
        <v>298</v>
      </c>
      <c r="D3" s="2" t="s">
        <v>81</v>
      </c>
      <c r="E3" s="5">
        <v>1</v>
      </c>
      <c r="F3" s="2">
        <v>0.013</v>
      </c>
      <c r="G3" s="2" t="s">
        <v>166</v>
      </c>
      <c r="H3" s="3" t="str">
        <f>B3</f>
        <v>rep-a-2</v>
      </c>
      <c r="I3" s="3" t="str">
        <f>INDEX(CausalMechanisms!L2:L999, MATCH(C3,CausalMechanisms!A2:A999, 0))</f>
        <v>/intake/new-patient/reyes-ana/mechanisms/cm-a</v>
      </c>
      <c r="J3" s="3" t="str">
        <f>I3 &amp; "/replications/" &amp; A3</f>
        <v>/intake/new-patient/reyes-ana/mechanisms/cm-a/replications/rep-a-2</v>
      </c>
      <c r="K3" s="3" t="b">
        <f>IF(AND(F3 &lt;= 0.05, E3 = 1), TRUE(), FALSE())</f>
        <v>1</v>
      </c>
      <c r="L3" s="3" t="str">
        <f>INDEX(CausalMechanisms!M2:M999, MATCH(C3,CausalMechanisms!A2:A999, 0))</f>
        <v>European</v>
      </c>
      <c r="M3" s="3" t="b">
        <f>IF(G3 = L3, FALSE(), TRUE())</f>
        <v>1</v>
      </c>
      <c r="N3" s="3" t="b">
        <f>IF(AND(K3, M3), TRUE(), FALSE())</f>
        <v>1</v>
      </c>
      <c r="O3" s="2" t="s">
        <v>384</v>
      </c>
    </row>
    <row r="4">
      <c r="A4" s="2" t="s">
        <v>385</v>
      </c>
      <c r="B4" s="2" t="s">
        <v>385</v>
      </c>
      <c r="C4" s="2" t="s">
        <v>298</v>
      </c>
      <c r="D4" s="2" t="s">
        <v>75</v>
      </c>
      <c r="E4" s="5">
        <v>1</v>
      </c>
      <c r="F4" s="2">
        <v>0.18</v>
      </c>
      <c r="G4" s="2" t="s">
        <v>148</v>
      </c>
      <c r="H4" s="3" t="str">
        <f>B4</f>
        <v>rep-a-3</v>
      </c>
      <c r="I4" s="3" t="str">
        <f>INDEX(CausalMechanisms!L2:L999, MATCH(C4,CausalMechanisms!A2:A999, 0))</f>
        <v>/intake/new-patient/reyes-ana/mechanisms/cm-a</v>
      </c>
      <c r="J4" s="3" t="str">
        <f>I4 &amp; "/replications/" &amp; A4</f>
        <v>/intake/new-patient/reyes-ana/mechanisms/cm-a/replications/rep-a-3</v>
      </c>
      <c r="K4" s="3" t="b">
        <f>IF(AND(F4 &lt;= 0.05, E4 = 1), TRUE(), FALSE())</f>
        <v>0</v>
      </c>
      <c r="L4" s="3" t="str">
        <f>INDEX(CausalMechanisms!M2:M999, MATCH(C4,CausalMechanisms!A2:A999, 0))</f>
        <v>European</v>
      </c>
      <c r="M4" s="3" t="b">
        <f>IF(G4 = L4, FALSE(), TRUE())</f>
        <v>0</v>
      </c>
      <c r="N4" s="3" t="b">
        <f>IF(AND(K4, M4), TRUE(), FALSE())</f>
        <v>0</v>
      </c>
      <c r="O4" s="2" t="s">
        <v>386</v>
      </c>
    </row>
    <row r="5">
      <c r="A5" s="2" t="s">
        <v>387</v>
      </c>
      <c r="B5" s="2" t="s">
        <v>387</v>
      </c>
      <c r="C5" s="2" t="s">
        <v>311</v>
      </c>
      <c r="D5" s="2" t="s">
        <v>78</v>
      </c>
      <c r="E5" s="5">
        <v>1</v>
      </c>
      <c r="F5" s="2">
        <v>0.006</v>
      </c>
      <c r="G5" s="2" t="s">
        <v>157</v>
      </c>
      <c r="H5" s="3" t="str">
        <f>B5</f>
        <v>rep-b-1</v>
      </c>
      <c r="I5" s="3" t="str">
        <f>INDEX(CausalMechanisms!L2:L999, MATCH(C5,CausalMechanisms!A2:A999, 0))</f>
        <v>/intake/new-patient/okafor-bili/mechanisms/cm-b</v>
      </c>
      <c r="J5" s="3" t="str">
        <f>I5 &amp; "/replications/" &amp; A5</f>
        <v>/intake/new-patient/okafor-bili/mechanisms/cm-b/replications/rep-b-1</v>
      </c>
      <c r="K5" s="3" t="b">
        <f>IF(AND(F5 &lt;= 0.05, E5 = 1), TRUE(), FALSE())</f>
        <v>1</v>
      </c>
      <c r="L5" s="3" t="str">
        <f>INDEX(CausalMechanisms!M2:M999, MATCH(C5,CausalMechanisms!A2:A999, 0))</f>
        <v>European</v>
      </c>
      <c r="M5" s="3" t="b">
        <f>IF(G5 = L5, FALSE(), TRUE())</f>
        <v>1</v>
      </c>
      <c r="N5" s="3" t="b">
        <f>IF(AND(K5, M5), TRUE(), FALSE())</f>
        <v>1</v>
      </c>
      <c r="O5" s="2" t="s">
        <v>388</v>
      </c>
    </row>
    <row r="6">
      <c r="A6" s="2" t="s">
        <v>389</v>
      </c>
      <c r="B6" s="2" t="s">
        <v>389</v>
      </c>
      <c r="C6" s="2" t="s">
        <v>311</v>
      </c>
      <c r="D6" s="2" t="s">
        <v>81</v>
      </c>
      <c r="E6" s="5">
        <v>1</v>
      </c>
      <c r="F6" s="2">
        <v>0.017</v>
      </c>
      <c r="G6" s="2" t="s">
        <v>166</v>
      </c>
      <c r="H6" s="3" t="str">
        <f>B6</f>
        <v>rep-b-2</v>
      </c>
      <c r="I6" s="3" t="str">
        <f>INDEX(CausalMechanisms!L2:L999, MATCH(C6,CausalMechanisms!A2:A999, 0))</f>
        <v>/intake/new-patient/okafor-bili/mechanisms/cm-b</v>
      </c>
      <c r="J6" s="3" t="str">
        <f>I6 &amp; "/replications/" &amp; A6</f>
        <v>/intake/new-patient/okafor-bili/mechanisms/cm-b/replications/rep-b-2</v>
      </c>
      <c r="K6" s="3" t="b">
        <f>IF(AND(F6 &lt;= 0.05, E6 = 1), TRUE(), FALSE())</f>
        <v>1</v>
      </c>
      <c r="L6" s="3" t="str">
        <f>INDEX(CausalMechanisms!M2:M999, MATCH(C6,CausalMechanisms!A2:A999, 0))</f>
        <v>European</v>
      </c>
      <c r="M6" s="3" t="b">
        <f>IF(G6 = L6, FALSE(), TRUE())</f>
        <v>1</v>
      </c>
      <c r="N6" s="3" t="b">
        <f>IF(AND(K6, M6), TRUE(), FALSE())</f>
        <v>1</v>
      </c>
      <c r="O6" s="2" t="s">
        <v>390</v>
      </c>
    </row>
    <row r="7">
      <c r="A7" s="2" t="s">
        <v>391</v>
      </c>
      <c r="B7" s="2" t="s">
        <v>391</v>
      </c>
      <c r="C7" s="2" t="s">
        <v>311</v>
      </c>
      <c r="D7" s="2" t="s">
        <v>75</v>
      </c>
      <c r="E7" s="5">
        <v>1</v>
      </c>
      <c r="F7" s="2">
        <v>0.22</v>
      </c>
      <c r="G7" s="2" t="s">
        <v>148</v>
      </c>
      <c r="H7" s="3" t="str">
        <f>B7</f>
        <v>rep-b-3</v>
      </c>
      <c r="I7" s="3" t="str">
        <f>INDEX(CausalMechanisms!L2:L999, MATCH(C7,CausalMechanisms!A2:A999, 0))</f>
        <v>/intake/new-patient/okafor-bili/mechanisms/cm-b</v>
      </c>
      <c r="J7" s="3" t="str">
        <f>I7 &amp; "/replications/" &amp; A7</f>
        <v>/intake/new-patient/okafor-bili/mechanisms/cm-b/replications/rep-b-3</v>
      </c>
      <c r="K7" s="3" t="b">
        <f>IF(AND(F7 &lt;= 0.05, E7 = 1), TRUE(), FALSE())</f>
        <v>0</v>
      </c>
      <c r="L7" s="3" t="str">
        <f>INDEX(CausalMechanisms!M2:M999, MATCH(C7,CausalMechanisms!A2:A999, 0))</f>
        <v>European</v>
      </c>
      <c r="M7" s="3" t="b">
        <f>IF(G7 = L7, FALSE(), TRUE())</f>
        <v>0</v>
      </c>
      <c r="N7" s="3" t="b">
        <f>IF(AND(K7, M7), TRUE(), FALSE())</f>
        <v>0</v>
      </c>
      <c r="O7" s="2" t="s">
        <v>392</v>
      </c>
    </row>
    <row r="8">
      <c r="A8" s="2" t="s">
        <v>393</v>
      </c>
      <c r="B8" s="2" t="s">
        <v>393</v>
      </c>
      <c r="C8" s="2" t="s">
        <v>318</v>
      </c>
      <c r="D8" s="2" t="s">
        <v>78</v>
      </c>
      <c r="E8" s="5">
        <v>1</v>
      </c>
      <c r="F8" s="2">
        <v>0.009</v>
      </c>
      <c r="G8" s="2" t="s">
        <v>157</v>
      </c>
      <c r="H8" s="3" t="str">
        <f>B8</f>
        <v>rep-c-1</v>
      </c>
      <c r="I8" s="3" t="str">
        <f>INDEX(CausalMechanisms!L2:L999, MATCH(C8,CausalMechanisms!A2:A999, 0))</f>
        <v>/intake/new-patient/wei-chen/mechanisms/cm-c</v>
      </c>
      <c r="J8" s="3" t="str">
        <f>I8 &amp; "/replications/" &amp; A8</f>
        <v>/intake/new-patient/wei-chen/mechanisms/cm-c/replications/rep-c-1</v>
      </c>
      <c r="K8" s="3" t="b">
        <f>IF(AND(F8 &lt;= 0.05, E8 = 1), TRUE(), FALSE())</f>
        <v>1</v>
      </c>
      <c r="L8" s="3" t="str">
        <f>INDEX(CausalMechanisms!M2:M999, MATCH(C8,CausalMechanisms!A2:A999, 0))</f>
        <v>East Asian</v>
      </c>
      <c r="M8" s="3" t="b">
        <f>IF(G8 = L8, FALSE(), TRUE())</f>
        <v>0</v>
      </c>
      <c r="N8" s="3" t="b">
        <f>IF(AND(K8, M8), TRUE(), FALSE())</f>
        <v>0</v>
      </c>
      <c r="O8" s="2" t="s">
        <v>394</v>
      </c>
    </row>
    <row r="9">
      <c r="A9" s="2" t="s">
        <v>395</v>
      </c>
      <c r="B9" s="2" t="s">
        <v>395</v>
      </c>
      <c r="C9" s="2" t="s">
        <v>318</v>
      </c>
      <c r="D9" s="2" t="s">
        <v>81</v>
      </c>
      <c r="E9" s="5">
        <v>-1</v>
      </c>
      <c r="F9" s="2">
        <v>0.024</v>
      </c>
      <c r="G9" s="2" t="s">
        <v>166</v>
      </c>
      <c r="H9" s="3" t="str">
        <f>B9</f>
        <v>rep-c-2</v>
      </c>
      <c r="I9" s="3" t="str">
        <f>INDEX(CausalMechanisms!L2:L999, MATCH(C9,CausalMechanisms!A2:A999, 0))</f>
        <v>/intake/new-patient/wei-chen/mechanisms/cm-c</v>
      </c>
      <c r="J9" s="3" t="str">
        <f>I9 &amp; "/replications/" &amp; A9</f>
        <v>/intake/new-patient/wei-chen/mechanisms/cm-c/replications/rep-c-2</v>
      </c>
      <c r="K9" s="3" t="b">
        <f>IF(AND(F9 &lt;= 0.05, E9 = 1), TRUE(), FALSE())</f>
        <v>0</v>
      </c>
      <c r="L9" s="3" t="str">
        <f>INDEX(CausalMechanisms!M2:M999, MATCH(C9,CausalMechanisms!A2:A999, 0))</f>
        <v>East Asian</v>
      </c>
      <c r="M9" s="3" t="b">
        <f>IF(G9 = L9, FALSE(), TRUE())</f>
        <v>1</v>
      </c>
      <c r="N9" s="3" t="b">
        <f>IF(AND(K9, M9), TRUE(), FALSE())</f>
        <v>0</v>
      </c>
      <c r="O9" s="2" t="s">
        <v>396</v>
      </c>
    </row>
    <row r="10">
      <c r="A10" s="2" t="s">
        <v>397</v>
      </c>
      <c r="B10" s="2" t="s">
        <v>397</v>
      </c>
      <c r="C10" s="2" t="s">
        <v>318</v>
      </c>
      <c r="D10" s="2" t="s">
        <v>75</v>
      </c>
      <c r="E10" s="5">
        <v>1</v>
      </c>
      <c r="F10" s="2">
        <v>0.27</v>
      </c>
      <c r="G10" s="2" t="s">
        <v>148</v>
      </c>
      <c r="H10" s="3" t="str">
        <f>B10</f>
        <v>rep-c-3</v>
      </c>
      <c r="I10" s="3" t="str">
        <f>INDEX(CausalMechanisms!L2:L999, MATCH(C10,CausalMechanisms!A2:A999, 0))</f>
        <v>/intake/new-patient/wei-chen/mechanisms/cm-c</v>
      </c>
      <c r="J10" s="3" t="str">
        <f>I10 &amp; "/replications/" &amp; A10</f>
        <v>/intake/new-patient/wei-chen/mechanisms/cm-c/replications/rep-c-3</v>
      </c>
      <c r="K10" s="3" t="b">
        <f>IF(AND(F10 &lt;= 0.05, E10 = 1), TRUE(), FALSE())</f>
        <v>0</v>
      </c>
      <c r="L10" s="3" t="str">
        <f>INDEX(CausalMechanisms!M2:M999, MATCH(C10,CausalMechanisms!A2:A999, 0))</f>
        <v>East Asian</v>
      </c>
      <c r="M10" s="3" t="b">
        <f>IF(G10 = L10, FALSE(), TRUE())</f>
        <v>1</v>
      </c>
      <c r="N10" s="3" t="b">
        <f>IF(AND(K10, M10), TRUE(), FALSE())</f>
        <v>0</v>
      </c>
      <c r="O10" s="2" t="s">
        <v>398</v>
      </c>
    </row>
    <row r="11">
      <c r="A11" s="2" t="s">
        <v>399</v>
      </c>
      <c r="B11" s="2" t="s">
        <v>399</v>
      </c>
      <c r="C11" s="2" t="s">
        <v>325</v>
      </c>
      <c r="D11" s="2" t="s">
        <v>78</v>
      </c>
      <c r="E11" s="5">
        <v>1</v>
      </c>
      <c r="F11" s="2">
        <v>0.003</v>
      </c>
      <c r="G11" s="2" t="s">
        <v>157</v>
      </c>
      <c r="H11" s="3" t="str">
        <f>B11</f>
        <v>rep-d-1</v>
      </c>
      <c r="I11" s="3" t="str">
        <f>INDEX(CausalMechanisms!L2:L999, MATCH(C11,CausalMechanisms!A2:A999, 0))</f>
        <v>/intake/new-patient/santos-diego/mechanisms/cm-d</v>
      </c>
      <c r="J11" s="3" t="str">
        <f>I11 &amp; "/replications/" &amp; A11</f>
        <v>/intake/new-patient/santos-diego/mechanisms/cm-d/replications/rep-d-1</v>
      </c>
      <c r="K11" s="3" t="b">
        <f>IF(AND(F11 &lt;= 0.05, E11 = 1), TRUE(), FALSE())</f>
        <v>1</v>
      </c>
      <c r="L11" s="3" t="str">
        <f>INDEX(CausalMechanisms!M2:M999, MATCH(C11,CausalMechanisms!A2:A999, 0))</f>
        <v>European</v>
      </c>
      <c r="M11" s="3" t="b">
        <f>IF(G11 = L11, FALSE(), TRUE())</f>
        <v>1</v>
      </c>
      <c r="N11" s="3" t="b">
        <f>IF(AND(K11, M11), TRUE(), FALSE())</f>
        <v>1</v>
      </c>
      <c r="O11" s="2" t="s">
        <v>400</v>
      </c>
    </row>
    <row r="12">
      <c r="A12" s="2" t="s">
        <v>401</v>
      </c>
      <c r="B12" s="2" t="s">
        <v>401</v>
      </c>
      <c r="C12" s="2" t="s">
        <v>325</v>
      </c>
      <c r="D12" s="2" t="s">
        <v>81</v>
      </c>
      <c r="E12" s="5">
        <v>1</v>
      </c>
      <c r="F12" s="2">
        <v>0.019</v>
      </c>
      <c r="G12" s="2" t="s">
        <v>166</v>
      </c>
      <c r="H12" s="3" t="str">
        <f>B12</f>
        <v>rep-d-2</v>
      </c>
      <c r="I12" s="3" t="str">
        <f>INDEX(CausalMechanisms!L2:L999, MATCH(C12,CausalMechanisms!A2:A999, 0))</f>
        <v>/intake/new-patient/santos-diego/mechanisms/cm-d</v>
      </c>
      <c r="J12" s="3" t="str">
        <f>I12 &amp; "/replications/" &amp; A12</f>
        <v>/intake/new-patient/santos-diego/mechanisms/cm-d/replications/rep-d-2</v>
      </c>
      <c r="K12" s="3" t="b">
        <f>IF(AND(F12 &lt;= 0.05, E12 = 1), TRUE(), FALSE())</f>
        <v>1</v>
      </c>
      <c r="L12" s="3" t="str">
        <f>INDEX(CausalMechanisms!M2:M999, MATCH(C12,CausalMechanisms!A2:A999, 0))</f>
        <v>European</v>
      </c>
      <c r="M12" s="3" t="b">
        <f>IF(G12 = L12, FALSE(), TRUE())</f>
        <v>1</v>
      </c>
      <c r="N12" s="3" t="b">
        <f>IF(AND(K12, M12), TRUE(), FALSE())</f>
        <v>1</v>
      </c>
      <c r="O12" s="2" t="s">
        <v>402</v>
      </c>
    </row>
    <row r="13">
      <c r="A13" s="2" t="s">
        <v>403</v>
      </c>
      <c r="B13" s="2" t="s">
        <v>403</v>
      </c>
      <c r="C13" s="2" t="s">
        <v>325</v>
      </c>
      <c r="D13" s="2" t="s">
        <v>75</v>
      </c>
      <c r="E13" s="5">
        <v>1</v>
      </c>
      <c r="F13" s="2">
        <v>0.16</v>
      </c>
      <c r="G13" s="2" t="s">
        <v>148</v>
      </c>
      <c r="H13" s="3" t="str">
        <f>B13</f>
        <v>rep-d-3</v>
      </c>
      <c r="I13" s="3" t="str">
        <f>INDEX(CausalMechanisms!L2:L999, MATCH(C13,CausalMechanisms!A2:A999, 0))</f>
        <v>/intake/new-patient/santos-diego/mechanisms/cm-d</v>
      </c>
      <c r="J13" s="3" t="str">
        <f>I13 &amp; "/replications/" &amp; A13</f>
        <v>/intake/new-patient/santos-diego/mechanisms/cm-d/replications/rep-d-3</v>
      </c>
      <c r="K13" s="3" t="b">
        <f>IF(AND(F13 &lt;= 0.05, E13 = 1), TRUE(), FALSE())</f>
        <v>0</v>
      </c>
      <c r="L13" s="3" t="str">
        <f>INDEX(CausalMechanisms!M2:M999, MATCH(C13,CausalMechanisms!A2:A999, 0))</f>
        <v>European</v>
      </c>
      <c r="M13" s="3" t="b">
        <f>IF(G13 = L13, FALSE(), TRUE())</f>
        <v>0</v>
      </c>
      <c r="N13" s="3" t="b">
        <f>IF(AND(K13, M13), TRUE(), FALSE())</f>
        <v>0</v>
      </c>
      <c r="O13" s="2" t="s">
        <v>404</v>
      </c>
    </row>
    <row r="14">
      <c r="A14" s="2" t="s">
        <v>405</v>
      </c>
      <c r="B14" s="2" t="s">
        <v>405</v>
      </c>
      <c r="C14" s="2" t="s">
        <v>332</v>
      </c>
      <c r="D14" s="2" t="s">
        <v>78</v>
      </c>
      <c r="E14" s="5">
        <v>1</v>
      </c>
      <c r="F14" s="2">
        <v>0.007</v>
      </c>
      <c r="G14" s="2" t="s">
        <v>157</v>
      </c>
      <c r="H14" s="3" t="str">
        <f>B14</f>
        <v>rep-e-1</v>
      </c>
      <c r="I14" s="3" t="str">
        <f>INDEX(CausalMechanisms!L2:L999, MATCH(C14,CausalMechanisms!A2:A999, 0))</f>
        <v>/intake/new-patient/mensah-esi/mechanisms/cm-e</v>
      </c>
      <c r="J14" s="3" t="str">
        <f>I14 &amp; "/replications/" &amp; A14</f>
        <v>/intake/new-patient/mensah-esi/mechanisms/cm-e/replications/rep-e-1</v>
      </c>
      <c r="K14" s="3" t="b">
        <f>IF(AND(F14 &lt;= 0.05, E14 = 1), TRUE(), FALSE())</f>
        <v>1</v>
      </c>
      <c r="L14" s="3" t="str">
        <f>INDEX(CausalMechanisms!M2:M999, MATCH(C14,CausalMechanisms!A2:A999, 0))</f>
        <v>African</v>
      </c>
      <c r="M14" s="3" t="b">
        <f>IF(G14 = L14, FALSE(), TRUE())</f>
        <v>1</v>
      </c>
      <c r="N14" s="3" t="b">
        <f>IF(AND(K14, M14), TRUE(), FALSE())</f>
        <v>1</v>
      </c>
      <c r="O14" s="2" t="s">
        <v>406</v>
      </c>
    </row>
    <row r="15">
      <c r="A15" s="2" t="s">
        <v>407</v>
      </c>
      <c r="B15" s="2" t="s">
        <v>407</v>
      </c>
      <c r="C15" s="2" t="s">
        <v>332</v>
      </c>
      <c r="D15" s="2" t="s">
        <v>75</v>
      </c>
      <c r="E15" s="5">
        <v>1</v>
      </c>
      <c r="F15" s="2">
        <v>0.021</v>
      </c>
      <c r="G15" s="2" t="s">
        <v>148</v>
      </c>
      <c r="H15" s="3" t="str">
        <f>B15</f>
        <v>rep-e-2</v>
      </c>
      <c r="I15" s="3" t="str">
        <f>INDEX(CausalMechanisms!L2:L999, MATCH(C15,CausalMechanisms!A2:A999, 0))</f>
        <v>/intake/new-patient/mensah-esi/mechanisms/cm-e</v>
      </c>
      <c r="J15" s="3" t="str">
        <f>I15 &amp; "/replications/" &amp; A15</f>
        <v>/intake/new-patient/mensah-esi/mechanisms/cm-e/replications/rep-e-2</v>
      </c>
      <c r="K15" s="3" t="b">
        <f>IF(AND(F15 &lt;= 0.05, E15 = 1), TRUE(), FALSE())</f>
        <v>1</v>
      </c>
      <c r="L15" s="3" t="str">
        <f>INDEX(CausalMechanisms!M2:M999, MATCH(C15,CausalMechanisms!A2:A999, 0))</f>
        <v>African</v>
      </c>
      <c r="M15" s="3" t="b">
        <f>IF(G15 = L15, FALSE(), TRUE())</f>
        <v>1</v>
      </c>
      <c r="N15" s="3" t="b">
        <f>IF(AND(K15, M15), TRUE(), FALSE())</f>
        <v>1</v>
      </c>
      <c r="O15" s="2" t="s">
        <v>408</v>
      </c>
    </row>
    <row r="16">
      <c r="A16" s="2" t="s">
        <v>409</v>
      </c>
      <c r="B16" s="2" t="s">
        <v>409</v>
      </c>
      <c r="C16" s="2" t="s">
        <v>332</v>
      </c>
      <c r="D16" s="2" t="s">
        <v>81</v>
      </c>
      <c r="E16" s="5">
        <v>1</v>
      </c>
      <c r="F16" s="2">
        <v>0.19</v>
      </c>
      <c r="G16" s="2" t="s">
        <v>166</v>
      </c>
      <c r="H16" s="3" t="str">
        <f>B16</f>
        <v>rep-e-3</v>
      </c>
      <c r="I16" s="3" t="str">
        <f>INDEX(CausalMechanisms!L2:L999, MATCH(C16,CausalMechanisms!A2:A999, 0))</f>
        <v>/intake/new-patient/mensah-esi/mechanisms/cm-e</v>
      </c>
      <c r="J16" s="3" t="str">
        <f>I16 &amp; "/replications/" &amp; A16</f>
        <v>/intake/new-patient/mensah-esi/mechanisms/cm-e/replications/rep-e-3</v>
      </c>
      <c r="K16" s="3" t="b">
        <f>IF(AND(F16 &lt;= 0.05, E16 = 1), TRUE(), FALSE())</f>
        <v>0</v>
      </c>
      <c r="L16" s="3" t="str">
        <f>INDEX(CausalMechanisms!M2:M999, MATCH(C16,CausalMechanisms!A2:A999, 0))</f>
        <v>African</v>
      </c>
      <c r="M16" s="3" t="b">
        <f>IF(G16 = L16, FALSE(), TRUE())</f>
        <v>0</v>
      </c>
      <c r="N16" s="3" t="b">
        <f>IF(AND(K16, M16), TRUE(), FALSE())</f>
        <v>0</v>
      </c>
      <c r="O16" s="2" t="s">
        <v>410</v>
      </c>
    </row>
    <row r="17">
      <c r="A17" s="2" t="s">
        <v>411</v>
      </c>
      <c r="B17" s="2" t="s">
        <v>411</v>
      </c>
      <c r="C17" s="2" t="s">
        <v>339</v>
      </c>
      <c r="D17" s="2" t="s">
        <v>84</v>
      </c>
      <c r="E17" s="5">
        <v>1</v>
      </c>
      <c r="F17" s="2">
        <v>0.005</v>
      </c>
      <c r="G17" s="2" t="s">
        <v>171</v>
      </c>
      <c r="H17" s="3" t="str">
        <f>B17</f>
        <v>rep-f-1</v>
      </c>
      <c r="I17" s="3" t="str">
        <f>INDEX(CausalMechanisms!L2:L999, MATCH(C17,CausalMechanisms!A2:A999, 0))</f>
        <v>/intake/new-patient/haidar-faisal/mechanisms/cm-f</v>
      </c>
      <c r="J17" s="3" t="str">
        <f>I17 &amp; "/replications/" &amp; A17</f>
        <v>/intake/new-patient/haidar-faisal/mechanisms/cm-f/replications/rep-f-1</v>
      </c>
      <c r="K17" s="3" t="b">
        <f>IF(AND(F17 &lt;= 0.05, E17 = 1), TRUE(), FALSE())</f>
        <v>1</v>
      </c>
      <c r="L17" s="3" t="str">
        <f>INDEX(CausalMechanisms!M2:M999, MATCH(C17,CausalMechanisms!A2:A999, 0))</f>
        <v>Indigenous American</v>
      </c>
      <c r="M17" s="3" t="b">
        <f>IF(G17 = L17, FALSE(), TRUE())</f>
        <v>0</v>
      </c>
      <c r="N17" s="3" t="b">
        <f>IF(AND(K17, M17), TRUE(), FALSE())</f>
        <v>0</v>
      </c>
      <c r="O17" s="2" t="s">
        <v>412</v>
      </c>
    </row>
    <row r="18">
      <c r="A18" s="2" t="s">
        <v>413</v>
      </c>
      <c r="B18" s="2" t="s">
        <v>413</v>
      </c>
      <c r="C18" s="2" t="s">
        <v>339</v>
      </c>
      <c r="D18" s="2" t="s">
        <v>84</v>
      </c>
      <c r="E18" s="5">
        <v>1</v>
      </c>
      <c r="F18" s="2">
        <v>0.015</v>
      </c>
      <c r="G18" s="2" t="s">
        <v>171</v>
      </c>
      <c r="H18" s="3" t="str">
        <f>B18</f>
        <v>rep-f-2</v>
      </c>
      <c r="I18" s="3" t="str">
        <f>INDEX(CausalMechanisms!L2:L999, MATCH(C18,CausalMechanisms!A2:A999, 0))</f>
        <v>/intake/new-patient/haidar-faisal/mechanisms/cm-f</v>
      </c>
      <c r="J18" s="3" t="str">
        <f>I18 &amp; "/replications/" &amp; A18</f>
        <v>/intake/new-patient/haidar-faisal/mechanisms/cm-f/replications/rep-f-2</v>
      </c>
      <c r="K18" s="3" t="b">
        <f>IF(AND(F18 &lt;= 0.05, E18 = 1), TRUE(), FALSE())</f>
        <v>1</v>
      </c>
      <c r="L18" s="3" t="str">
        <f>INDEX(CausalMechanisms!M2:M999, MATCH(C18,CausalMechanisms!A2:A999, 0))</f>
        <v>Indigenous American</v>
      </c>
      <c r="M18" s="3" t="b">
        <f>IF(G18 = L18, FALSE(), TRUE())</f>
        <v>0</v>
      </c>
      <c r="N18" s="3" t="b">
        <f>IF(AND(K18, M18), TRUE(), FALSE())</f>
        <v>0</v>
      </c>
      <c r="O18" s="2" t="s">
        <v>414</v>
      </c>
    </row>
    <row r="19">
      <c r="A19" s="2" t="s">
        <v>415</v>
      </c>
      <c r="B19" s="2" t="s">
        <v>415</v>
      </c>
      <c r="C19" s="2" t="s">
        <v>339</v>
      </c>
      <c r="D19" s="2" t="s">
        <v>84</v>
      </c>
      <c r="E19" s="5">
        <v>1</v>
      </c>
      <c r="F19" s="2">
        <v>0.034</v>
      </c>
      <c r="G19" s="2" t="s">
        <v>171</v>
      </c>
      <c r="H19" s="3" t="str">
        <f>B19</f>
        <v>rep-f-3</v>
      </c>
      <c r="I19" s="3" t="str">
        <f>INDEX(CausalMechanisms!L2:L999, MATCH(C19,CausalMechanisms!A2:A999, 0))</f>
        <v>/intake/new-patient/haidar-faisal/mechanisms/cm-f</v>
      </c>
      <c r="J19" s="3" t="str">
        <f>I19 &amp; "/replications/" &amp; A19</f>
        <v>/intake/new-patient/haidar-faisal/mechanisms/cm-f/replications/rep-f-3</v>
      </c>
      <c r="K19" s="3" t="b">
        <f>IF(AND(F19 &lt;= 0.05, E19 = 1), TRUE(), FALSE())</f>
        <v>1</v>
      </c>
      <c r="L19" s="3" t="str">
        <f>INDEX(CausalMechanisms!M2:M999, MATCH(C19,CausalMechanisms!A2:A999, 0))</f>
        <v>Indigenous American</v>
      </c>
      <c r="M19" s="3" t="b">
        <f>IF(G19 = L19, FALSE(), TRUE())</f>
        <v>0</v>
      </c>
      <c r="N19" s="3" t="b">
        <f>IF(AND(K19, M19), TRUE(), FALSE())</f>
        <v>0</v>
      </c>
      <c r="O19" s="2" t="s">
        <v>416</v>
      </c>
    </row>
    <row r="20">
      <c r="A20" s="2" t="s">
        <v>417</v>
      </c>
      <c r="B20" s="2" t="s">
        <v>417</v>
      </c>
      <c r="C20" s="2" t="s">
        <v>346</v>
      </c>
      <c r="D20" s="2" t="s">
        <v>75</v>
      </c>
      <c r="E20" s="5">
        <v>1</v>
      </c>
      <c r="F20" s="2">
        <v>0.004</v>
      </c>
      <c r="G20" s="2" t="s">
        <v>148</v>
      </c>
      <c r="H20" s="3" t="str">
        <f>B20</f>
        <v>rep-g-1</v>
      </c>
      <c r="I20" s="3" t="str">
        <f>INDEX(CausalMechanisms!L2:L999, MATCH(C20,CausalMechanisms!A2:A999, 0))</f>
        <v>/intake/new-patient/lin-grace/mechanisms/cm-g</v>
      </c>
      <c r="J20" s="3" t="str">
        <f>I20 &amp; "/replications/" &amp; A20</f>
        <v>/intake/new-patient/lin-grace/mechanisms/cm-g/replications/rep-g-1</v>
      </c>
      <c r="K20" s="3" t="b">
        <f>IF(AND(F20 &lt;= 0.05, E20 = 1), TRUE(), FALSE())</f>
        <v>1</v>
      </c>
      <c r="L20" s="3" t="str">
        <f>INDEX(CausalMechanisms!M2:M999, MATCH(C20,CausalMechanisms!A2:A999, 0))</f>
        <v>Indigenous American</v>
      </c>
      <c r="M20" s="3" t="b">
        <f>IF(G20 = L20, FALSE(), TRUE())</f>
        <v>1</v>
      </c>
      <c r="N20" s="3" t="b">
        <f>IF(AND(K20, M20), TRUE(), FALSE())</f>
        <v>1</v>
      </c>
      <c r="O20" s="2" t="s">
        <v>418</v>
      </c>
    </row>
    <row r="21">
      <c r="A21" s="2" t="s">
        <v>419</v>
      </c>
      <c r="B21" s="2" t="s">
        <v>419</v>
      </c>
      <c r="C21" s="2" t="s">
        <v>346</v>
      </c>
      <c r="D21" s="2" t="s">
        <v>78</v>
      </c>
      <c r="E21" s="5">
        <v>1</v>
      </c>
      <c r="F21" s="2">
        <v>0.012</v>
      </c>
      <c r="G21" s="2" t="s">
        <v>157</v>
      </c>
      <c r="H21" s="3" t="str">
        <f>B21</f>
        <v>rep-g-2</v>
      </c>
      <c r="I21" s="3" t="str">
        <f>INDEX(CausalMechanisms!L2:L999, MATCH(C21,CausalMechanisms!A2:A999, 0))</f>
        <v>/intake/new-patient/lin-grace/mechanisms/cm-g</v>
      </c>
      <c r="J21" s="3" t="str">
        <f>I21 &amp; "/replications/" &amp; A21</f>
        <v>/intake/new-patient/lin-grace/mechanisms/cm-g/replications/rep-g-2</v>
      </c>
      <c r="K21" s="3" t="b">
        <f>IF(AND(F21 &lt;= 0.05, E21 = 1), TRUE(), FALSE())</f>
        <v>1</v>
      </c>
      <c r="L21" s="3" t="str">
        <f>INDEX(CausalMechanisms!M2:M999, MATCH(C21,CausalMechanisms!A2:A999, 0))</f>
        <v>Indigenous American</v>
      </c>
      <c r="M21" s="3" t="b">
        <f>IF(G21 = L21, FALSE(), TRUE())</f>
        <v>1</v>
      </c>
      <c r="N21" s="3" t="b">
        <f>IF(AND(K21, M21), TRUE(), FALSE())</f>
        <v>1</v>
      </c>
      <c r="O21" s="2" t="s">
        <v>420</v>
      </c>
    </row>
    <row r="22">
      <c r="A22" s="2" t="s">
        <v>421</v>
      </c>
      <c r="B22" s="2" t="s">
        <v>421</v>
      </c>
      <c r="C22" s="2" t="s">
        <v>346</v>
      </c>
      <c r="D22" s="2" t="s">
        <v>84</v>
      </c>
      <c r="E22" s="5">
        <v>1</v>
      </c>
      <c r="F22" s="2">
        <v>0.029</v>
      </c>
      <c r="G22" s="2" t="s">
        <v>171</v>
      </c>
      <c r="H22" s="3" t="str">
        <f>B22</f>
        <v>rep-g-3</v>
      </c>
      <c r="I22" s="3" t="str">
        <f>INDEX(CausalMechanisms!L2:L999, MATCH(C22,CausalMechanisms!A2:A999, 0))</f>
        <v>/intake/new-patient/lin-grace/mechanisms/cm-g</v>
      </c>
      <c r="J22" s="3" t="str">
        <f>I22 &amp; "/replications/" &amp; A22</f>
        <v>/intake/new-patient/lin-grace/mechanisms/cm-g/replications/rep-g-3</v>
      </c>
      <c r="K22" s="3" t="b">
        <f>IF(AND(F22 &lt;= 0.05, E22 = 1), TRUE(), FALSE())</f>
        <v>1</v>
      </c>
      <c r="L22" s="3" t="str">
        <f>INDEX(CausalMechanisms!M2:M999, MATCH(C22,CausalMechanisms!A2:A999, 0))</f>
        <v>Indigenous American</v>
      </c>
      <c r="M22" s="3" t="b">
        <f>IF(G22 = L22, FALSE(), TRUE())</f>
        <v>0</v>
      </c>
      <c r="N22" s="3" t="b">
        <f>IF(AND(K22, M22), TRUE(), FALSE())</f>
        <v>0</v>
      </c>
      <c r="O22" s="2" t="s">
        <v>422</v>
      </c>
    </row>
    <row r="23">
      <c r="A23" s="2" t="s">
        <v>423</v>
      </c>
      <c r="B23" s="2" t="s">
        <v>423</v>
      </c>
      <c r="C23" s="2" t="s">
        <v>353</v>
      </c>
      <c r="D23" s="2" t="s">
        <v>78</v>
      </c>
      <c r="E23" s="5">
        <v>1</v>
      </c>
      <c r="F23" s="2">
        <v>0.004</v>
      </c>
      <c r="G23" s="2" t="s">
        <v>157</v>
      </c>
      <c r="H23" s="3" t="str">
        <f>B23</f>
        <v>rep-h-1</v>
      </c>
      <c r="I23" s="3" t="str">
        <f>INDEX(CausalMechanisms!L2:L999, MATCH(C23,CausalMechanisms!A2:A999, 0))</f>
        <v>/intake/new-patient/yamamoto-hana/mechanisms/cm-h</v>
      </c>
      <c r="J23" s="3" t="str">
        <f>I23 &amp; "/replications/" &amp; A23</f>
        <v>/intake/new-patient/yamamoto-hana/mechanisms/cm-h/replications/rep-h-1</v>
      </c>
      <c r="K23" s="3" t="b">
        <f>IF(AND(F23 &lt;= 0.05, E23 = 1), TRUE(), FALSE())</f>
        <v>1</v>
      </c>
      <c r="L23" s="3" t="str">
        <f>INDEX(CausalMechanisms!M2:M999, MATCH(C23,CausalMechanisms!A2:A999, 0))</f>
        <v>East Asian</v>
      </c>
      <c r="M23" s="3" t="b">
        <f>IF(G23 = L23, FALSE(), TRUE())</f>
        <v>0</v>
      </c>
      <c r="N23" s="3" t="b">
        <f>IF(AND(K23, M23), TRUE(), FALSE())</f>
        <v>0</v>
      </c>
      <c r="O23" s="2" t="s">
        <v>382</v>
      </c>
    </row>
    <row r="24">
      <c r="A24" s="2" t="s">
        <v>424</v>
      </c>
      <c r="B24" s="2" t="s">
        <v>424</v>
      </c>
      <c r="C24" s="2" t="s">
        <v>353</v>
      </c>
      <c r="D24" s="2" t="s">
        <v>81</v>
      </c>
      <c r="E24" s="5">
        <v>1</v>
      </c>
      <c r="F24" s="2">
        <v>0.013</v>
      </c>
      <c r="G24" s="2" t="s">
        <v>166</v>
      </c>
      <c r="H24" s="3" t="str">
        <f>B24</f>
        <v>rep-h-2</v>
      </c>
      <c r="I24" s="3" t="str">
        <f>INDEX(CausalMechanisms!L2:L999, MATCH(C24,CausalMechanisms!A2:A999, 0))</f>
        <v>/intake/new-patient/yamamoto-hana/mechanisms/cm-h</v>
      </c>
      <c r="J24" s="3" t="str">
        <f>I24 &amp; "/replications/" &amp; A24</f>
        <v>/intake/new-patient/yamamoto-hana/mechanisms/cm-h/replications/rep-h-2</v>
      </c>
      <c r="K24" s="3" t="b">
        <f>IF(AND(F24 &lt;= 0.05, E24 = 1), TRUE(), FALSE())</f>
        <v>1</v>
      </c>
      <c r="L24" s="3" t="str">
        <f>INDEX(CausalMechanisms!M2:M999, MATCH(C24,CausalMechanisms!A2:A999, 0))</f>
        <v>East Asian</v>
      </c>
      <c r="M24" s="3" t="b">
        <f>IF(G24 = L24, FALSE(), TRUE())</f>
        <v>1</v>
      </c>
      <c r="N24" s="3" t="b">
        <f>IF(AND(K24, M24), TRUE(), FALSE())</f>
        <v>1</v>
      </c>
      <c r="O24" s="2" t="s">
        <v>384</v>
      </c>
    </row>
    <row r="25">
      <c r="A25" s="2" t="s">
        <v>425</v>
      </c>
      <c r="B25" s="2" t="s">
        <v>425</v>
      </c>
      <c r="C25" s="2" t="s">
        <v>353</v>
      </c>
      <c r="D25" s="2" t="s">
        <v>75</v>
      </c>
      <c r="E25" s="5">
        <v>1</v>
      </c>
      <c r="F25" s="2">
        <v>0.18</v>
      </c>
      <c r="G25" s="2" t="s">
        <v>148</v>
      </c>
      <c r="H25" s="3" t="str">
        <f>B25</f>
        <v>rep-h-3</v>
      </c>
      <c r="I25" s="3" t="str">
        <f>INDEX(CausalMechanisms!L2:L999, MATCH(C25,CausalMechanisms!A2:A999, 0))</f>
        <v>/intake/new-patient/yamamoto-hana/mechanisms/cm-h</v>
      </c>
      <c r="J25" s="3" t="str">
        <f>I25 &amp; "/replications/" &amp; A25</f>
        <v>/intake/new-patient/yamamoto-hana/mechanisms/cm-h/replications/rep-h-3</v>
      </c>
      <c r="K25" s="3" t="b">
        <f>IF(AND(F25 &lt;= 0.05, E25 = 1), TRUE(), FALSE())</f>
        <v>0</v>
      </c>
      <c r="L25" s="3" t="str">
        <f>INDEX(CausalMechanisms!M2:M999, MATCH(C25,CausalMechanisms!A2:A999, 0))</f>
        <v>East Asian</v>
      </c>
      <c r="M25" s="3" t="b">
        <f>IF(G25 = L25, FALSE(), TRUE())</f>
        <v>1</v>
      </c>
      <c r="N25" s="3" t="b">
        <f>IF(AND(K25, M25), TRUE(), FALSE())</f>
        <v>0</v>
      </c>
      <c r="O25" s="2" t="s">
        <v>386</v>
      </c>
    </row>
    <row r="26">
      <c r="A26" s="2" t="s">
        <v>426</v>
      </c>
      <c r="B26" s="2" t="s">
        <v>426</v>
      </c>
      <c r="C26" s="2" t="s">
        <v>357</v>
      </c>
      <c r="D26" s="2" t="s">
        <v>78</v>
      </c>
      <c r="E26" s="5">
        <v>1</v>
      </c>
      <c r="F26" s="2">
        <v>0.003</v>
      </c>
      <c r="G26" s="2" t="s">
        <v>157</v>
      </c>
      <c r="H26" s="3" t="str">
        <f>B26</f>
        <v>rep-i-1</v>
      </c>
      <c r="I26" s="3" t="str">
        <f>INDEX(CausalMechanisms!L2:L999, MATCH(C26,CausalMechanisms!A2:A999, 0))</f>
        <v>/intake/new-patient/conteh-ibrahim/mechanisms/cm-i</v>
      </c>
      <c r="J26" s="3" t="str">
        <f>I26 &amp; "/replications/" &amp; A26</f>
        <v>/intake/new-patient/conteh-ibrahim/mechanisms/cm-i/replications/rep-i-1</v>
      </c>
      <c r="K26" s="3" t="b">
        <f>IF(AND(F26 &lt;= 0.05, E26 = 1), TRUE(), FALSE())</f>
        <v>1</v>
      </c>
      <c r="L26" s="3" t="str">
        <f>INDEX(CausalMechanisms!M2:M999, MATCH(C26,CausalMechanisms!A2:A999, 0))</f>
        <v>African</v>
      </c>
      <c r="M26" s="3" t="b">
        <f>IF(G26 = L26, FALSE(), TRUE())</f>
        <v>1</v>
      </c>
      <c r="N26" s="3" t="b">
        <f>IF(AND(K26, M26), TRUE(), FALSE())</f>
        <v>1</v>
      </c>
      <c r="O26" s="2" t="s">
        <v>400</v>
      </c>
    </row>
    <row r="27">
      <c r="A27" s="2" t="s">
        <v>427</v>
      </c>
      <c r="B27" s="2" t="s">
        <v>427</v>
      </c>
      <c r="C27" s="2" t="s">
        <v>357</v>
      </c>
      <c r="D27" s="2" t="s">
        <v>81</v>
      </c>
      <c r="E27" s="5">
        <v>1</v>
      </c>
      <c r="F27" s="2">
        <v>0.019</v>
      </c>
      <c r="G27" s="2" t="s">
        <v>166</v>
      </c>
      <c r="H27" s="3" t="str">
        <f>B27</f>
        <v>rep-i-2</v>
      </c>
      <c r="I27" s="3" t="str">
        <f>INDEX(CausalMechanisms!L2:L999, MATCH(C27,CausalMechanisms!A2:A999, 0))</f>
        <v>/intake/new-patient/conteh-ibrahim/mechanisms/cm-i</v>
      </c>
      <c r="J27" s="3" t="str">
        <f>I27 &amp; "/replications/" &amp; A27</f>
        <v>/intake/new-patient/conteh-ibrahim/mechanisms/cm-i/replications/rep-i-2</v>
      </c>
      <c r="K27" s="3" t="b">
        <f>IF(AND(F27 &lt;= 0.05, E27 = 1), TRUE(), FALSE())</f>
        <v>1</v>
      </c>
      <c r="L27" s="3" t="str">
        <f>INDEX(CausalMechanisms!M2:M999, MATCH(C27,CausalMechanisms!A2:A999, 0))</f>
        <v>African</v>
      </c>
      <c r="M27" s="3" t="b">
        <f>IF(G27 = L27, FALSE(), TRUE())</f>
        <v>0</v>
      </c>
      <c r="N27" s="3" t="b">
        <f>IF(AND(K27, M27), TRUE(), FALSE())</f>
        <v>0</v>
      </c>
      <c r="O27" s="2" t="s">
        <v>402</v>
      </c>
    </row>
    <row r="28">
      <c r="A28" s="2" t="s">
        <v>428</v>
      </c>
      <c r="B28" s="2" t="s">
        <v>428</v>
      </c>
      <c r="C28" s="2" t="s">
        <v>357</v>
      </c>
      <c r="D28" s="2" t="s">
        <v>75</v>
      </c>
      <c r="E28" s="5">
        <v>1</v>
      </c>
      <c r="F28" s="2">
        <v>0.16</v>
      </c>
      <c r="G28" s="2" t="s">
        <v>148</v>
      </c>
      <c r="H28" s="3" t="str">
        <f>B28</f>
        <v>rep-i-3</v>
      </c>
      <c r="I28" s="3" t="str">
        <f>INDEX(CausalMechanisms!L2:L999, MATCH(C28,CausalMechanisms!A2:A999, 0))</f>
        <v>/intake/new-patient/conteh-ibrahim/mechanisms/cm-i</v>
      </c>
      <c r="J28" s="3" t="str">
        <f>I28 &amp; "/replications/" &amp; A28</f>
        <v>/intake/new-patient/conteh-ibrahim/mechanisms/cm-i/replications/rep-i-3</v>
      </c>
      <c r="K28" s="3" t="b">
        <f>IF(AND(F28 &lt;= 0.05, E28 = 1), TRUE(), FALSE())</f>
        <v>0</v>
      </c>
      <c r="L28" s="3" t="str">
        <f>INDEX(CausalMechanisms!M2:M999, MATCH(C28,CausalMechanisms!A2:A999, 0))</f>
        <v>African</v>
      </c>
      <c r="M28" s="3" t="b">
        <f>IF(G28 = L28, FALSE(), TRUE())</f>
        <v>1</v>
      </c>
      <c r="N28" s="3" t="b">
        <f>IF(AND(K28, M28), TRUE(), FALSE())</f>
        <v>0</v>
      </c>
      <c r="O28" s="2" t="s">
        <v>404</v>
      </c>
    </row>
    <row r="29">
      <c r="A29" s="2" t="s">
        <v>429</v>
      </c>
      <c r="B29" s="2" t="s">
        <v>429</v>
      </c>
      <c r="C29" s="2" t="s">
        <v>361</v>
      </c>
      <c r="D29" s="2" t="s">
        <v>78</v>
      </c>
      <c r="E29" s="5">
        <v>1</v>
      </c>
      <c r="F29" s="2">
        <v>0.006</v>
      </c>
      <c r="G29" s="2" t="s">
        <v>157</v>
      </c>
      <c r="H29" s="3" t="str">
        <f>B29</f>
        <v>rep-j-1</v>
      </c>
      <c r="I29" s="3" t="str">
        <f>INDEX(CausalMechanisms!L2:L999, MATCH(C29,CausalMechanisms!A2:A999, 0))</f>
        <v>/intake/new-patient/brooks-jamal/mechanisms/cm-j</v>
      </c>
      <c r="J29" s="3" t="str">
        <f>I29 &amp; "/replications/" &amp; A29</f>
        <v>/intake/new-patient/brooks-jamal/mechanisms/cm-j/replications/rep-j-1</v>
      </c>
      <c r="K29" s="3" t="b">
        <f>IF(AND(F29 &lt;= 0.05, E29 = 1), TRUE(), FALSE())</f>
        <v>1</v>
      </c>
      <c r="L29" s="3" t="str">
        <f>INDEX(CausalMechanisms!M2:M999, MATCH(C29,CausalMechanisms!A2:A999, 0))</f>
        <v>Hispanic/Latino</v>
      </c>
      <c r="M29" s="3" t="b">
        <f>IF(G29 = L29, FALSE(), TRUE())</f>
        <v>1</v>
      </c>
      <c r="N29" s="3" t="b">
        <f>IF(AND(K29, M29), TRUE(), FALSE())</f>
        <v>1</v>
      </c>
      <c r="O29" s="2" t="s">
        <v>388</v>
      </c>
    </row>
    <row r="30">
      <c r="A30" s="2" t="s">
        <v>430</v>
      </c>
      <c r="B30" s="2" t="s">
        <v>430</v>
      </c>
      <c r="C30" s="2" t="s">
        <v>361</v>
      </c>
      <c r="D30" s="2" t="s">
        <v>81</v>
      </c>
      <c r="E30" s="5">
        <v>1</v>
      </c>
      <c r="F30" s="2">
        <v>0.017</v>
      </c>
      <c r="G30" s="2" t="s">
        <v>166</v>
      </c>
      <c r="H30" s="3" t="str">
        <f>B30</f>
        <v>rep-j-2</v>
      </c>
      <c r="I30" s="3" t="str">
        <f>INDEX(CausalMechanisms!L2:L999, MATCH(C30,CausalMechanisms!A2:A999, 0))</f>
        <v>/intake/new-patient/brooks-jamal/mechanisms/cm-j</v>
      </c>
      <c r="J30" s="3" t="str">
        <f>I30 &amp; "/replications/" &amp; A30</f>
        <v>/intake/new-patient/brooks-jamal/mechanisms/cm-j/replications/rep-j-2</v>
      </c>
      <c r="K30" s="3" t="b">
        <f>IF(AND(F30 &lt;= 0.05, E30 = 1), TRUE(), FALSE())</f>
        <v>1</v>
      </c>
      <c r="L30" s="3" t="str">
        <f>INDEX(CausalMechanisms!M2:M999, MATCH(C30,CausalMechanisms!A2:A999, 0))</f>
        <v>Hispanic/Latino</v>
      </c>
      <c r="M30" s="3" t="b">
        <f>IF(G30 = L30, FALSE(), TRUE())</f>
        <v>1</v>
      </c>
      <c r="N30" s="3" t="b">
        <f>IF(AND(K30, M30), TRUE(), FALSE())</f>
        <v>1</v>
      </c>
      <c r="O30" s="2" t="s">
        <v>390</v>
      </c>
    </row>
    <row r="31">
      <c r="A31" s="2" t="s">
        <v>431</v>
      </c>
      <c r="B31" s="2" t="s">
        <v>431</v>
      </c>
      <c r="C31" s="2" t="s">
        <v>361</v>
      </c>
      <c r="D31" s="2" t="s">
        <v>75</v>
      </c>
      <c r="E31" s="5">
        <v>1</v>
      </c>
      <c r="F31" s="2">
        <v>0.22</v>
      </c>
      <c r="G31" s="2" t="s">
        <v>148</v>
      </c>
      <c r="H31" s="3" t="str">
        <f>B31</f>
        <v>rep-j-3</v>
      </c>
      <c r="I31" s="3" t="str">
        <f>INDEX(CausalMechanisms!L2:L999, MATCH(C31,CausalMechanisms!A2:A999, 0))</f>
        <v>/intake/new-patient/brooks-jamal/mechanisms/cm-j</v>
      </c>
      <c r="J31" s="3" t="str">
        <f>I31 &amp; "/replications/" &amp; A31</f>
        <v>/intake/new-patient/brooks-jamal/mechanisms/cm-j/replications/rep-j-3</v>
      </c>
      <c r="K31" s="3" t="b">
        <f>IF(AND(F31 &lt;= 0.05, E31 = 1), TRUE(), FALSE())</f>
        <v>0</v>
      </c>
      <c r="L31" s="3" t="str">
        <f>INDEX(CausalMechanisms!M2:M999, MATCH(C31,CausalMechanisms!A2:A999, 0))</f>
        <v>Hispanic/Latino</v>
      </c>
      <c r="M31" s="3" t="b">
        <f>IF(G31 = L31, FALSE(), TRUE())</f>
        <v>1</v>
      </c>
      <c r="N31" s="3" t="b">
        <f>IF(AND(K31, M31), TRUE(), FALSE())</f>
        <v>0</v>
      </c>
      <c r="O31" s="2" t="s">
        <v>392</v>
      </c>
    </row>
    <row r="32">
      <c r="A32" s="2" t="s">
        <v>432</v>
      </c>
      <c r="B32" s="2" t="s">
        <v>432</v>
      </c>
      <c r="C32" s="2" t="s">
        <v>365</v>
      </c>
      <c r="D32" s="2" t="s">
        <v>84</v>
      </c>
      <c r="E32" s="5">
        <v>1</v>
      </c>
      <c r="F32" s="2">
        <v>0.005</v>
      </c>
      <c r="G32" s="2" t="s">
        <v>193</v>
      </c>
      <c r="H32" s="3" t="str">
        <f>B32</f>
        <v>rep-k-1</v>
      </c>
      <c r="I32" s="3" t="str">
        <f>INDEX(CausalMechanisms!L2:L999, MATCH(C32,CausalMechanisms!A2:A999, 0))</f>
        <v>/intake/new-patient/nair-kavya/mechanisms/cm-k</v>
      </c>
      <c r="J32" s="3" t="str">
        <f>I32 &amp; "/replications/" &amp; A32</f>
        <v>/intake/new-patient/nair-kavya/mechanisms/cm-k/replications/rep-k-1</v>
      </c>
      <c r="K32" s="3" t="b">
        <f>IF(AND(F32 &lt;= 0.05, E32 = 1), TRUE(), FALSE())</f>
        <v>1</v>
      </c>
      <c r="L32" s="3" t="str">
        <f>INDEX(CausalMechanisms!M2:M999, MATCH(C32,CausalMechanisms!A2:A999, 0))</f>
        <v>South Asian</v>
      </c>
      <c r="M32" s="3" t="b">
        <f>IF(G32 = L32, FALSE(), TRUE())</f>
        <v>0</v>
      </c>
      <c r="N32" s="3" t="b">
        <f>IF(AND(K32, M32), TRUE(), FALSE())</f>
        <v>0</v>
      </c>
      <c r="O32" s="2" t="s">
        <v>412</v>
      </c>
    </row>
    <row r="33">
      <c r="A33" s="2" t="s">
        <v>433</v>
      </c>
      <c r="B33" s="2" t="s">
        <v>433</v>
      </c>
      <c r="C33" s="2" t="s">
        <v>365</v>
      </c>
      <c r="D33" s="2" t="s">
        <v>84</v>
      </c>
      <c r="E33" s="5">
        <v>1</v>
      </c>
      <c r="F33" s="2">
        <v>0.015</v>
      </c>
      <c r="G33" s="2" t="s">
        <v>193</v>
      </c>
      <c r="H33" s="3" t="str">
        <f>B33</f>
        <v>rep-k-2</v>
      </c>
      <c r="I33" s="3" t="str">
        <f>INDEX(CausalMechanisms!L2:L999, MATCH(C33,CausalMechanisms!A2:A999, 0))</f>
        <v>/intake/new-patient/nair-kavya/mechanisms/cm-k</v>
      </c>
      <c r="J33" s="3" t="str">
        <f>I33 &amp; "/replications/" &amp; A33</f>
        <v>/intake/new-patient/nair-kavya/mechanisms/cm-k/replications/rep-k-2</v>
      </c>
      <c r="K33" s="3" t="b">
        <f>IF(AND(F33 &lt;= 0.05, E33 = 1), TRUE(), FALSE())</f>
        <v>1</v>
      </c>
      <c r="L33" s="3" t="str">
        <f>INDEX(CausalMechanisms!M2:M999, MATCH(C33,CausalMechanisms!A2:A999, 0))</f>
        <v>South Asian</v>
      </c>
      <c r="M33" s="3" t="b">
        <f>IF(G33 = L33, FALSE(), TRUE())</f>
        <v>0</v>
      </c>
      <c r="N33" s="3" t="b">
        <f>IF(AND(K33, M33), TRUE(), FALSE())</f>
        <v>0</v>
      </c>
      <c r="O33" s="2" t="s">
        <v>414</v>
      </c>
    </row>
    <row r="34">
      <c r="A34" s="2" t="s">
        <v>434</v>
      </c>
      <c r="B34" s="2" t="s">
        <v>434</v>
      </c>
      <c r="C34" s="2" t="s">
        <v>365</v>
      </c>
      <c r="D34" s="2" t="s">
        <v>84</v>
      </c>
      <c r="E34" s="5">
        <v>1</v>
      </c>
      <c r="F34" s="2">
        <v>0.034</v>
      </c>
      <c r="G34" s="2" t="s">
        <v>193</v>
      </c>
      <c r="H34" s="3" t="str">
        <f>B34</f>
        <v>rep-k-3</v>
      </c>
      <c r="I34" s="3" t="str">
        <f>INDEX(CausalMechanisms!L2:L999, MATCH(C34,CausalMechanisms!A2:A999, 0))</f>
        <v>/intake/new-patient/nair-kavya/mechanisms/cm-k</v>
      </c>
      <c r="J34" s="3" t="str">
        <f>I34 &amp; "/replications/" &amp; A34</f>
        <v>/intake/new-patient/nair-kavya/mechanisms/cm-k/replications/rep-k-3</v>
      </c>
      <c r="K34" s="3" t="b">
        <f>IF(AND(F34 &lt;= 0.05, E34 = 1), TRUE(), FALSE())</f>
        <v>1</v>
      </c>
      <c r="L34" s="3" t="str">
        <f>INDEX(CausalMechanisms!M2:M999, MATCH(C34,CausalMechanisms!A2:A999, 0))</f>
        <v>South Asian</v>
      </c>
      <c r="M34" s="3" t="b">
        <f>IF(G34 = L34, FALSE(), TRUE())</f>
        <v>0</v>
      </c>
      <c r="N34" s="3" t="b">
        <f>IF(AND(K34, M34), TRUE(), FALSE())</f>
        <v>0</v>
      </c>
      <c r="O34" s="2" t="s">
        <v>416</v>
      </c>
    </row>
    <row r="35">
      <c r="A35" s="2" t="s">
        <v>435</v>
      </c>
      <c r="B35" s="2" t="s">
        <v>435</v>
      </c>
      <c r="C35" s="2" t="s">
        <v>369</v>
      </c>
      <c r="D35" s="2" t="s">
        <v>75</v>
      </c>
      <c r="E35" s="5">
        <v>1</v>
      </c>
      <c r="F35" s="2">
        <v>0.004</v>
      </c>
      <c r="G35" s="2" t="s">
        <v>148</v>
      </c>
      <c r="H35" s="3" t="str">
        <f>B35</f>
        <v>rep-l-1</v>
      </c>
      <c r="I35" s="3" t="str">
        <f>INDEX(CausalMechanisms!L2:L999, MATCH(C35,CausalMechanisms!A2:A999, 0))</f>
        <v>/intake/new-patient/brandt-lena/mechanisms/cm-l</v>
      </c>
      <c r="J35" s="3" t="str">
        <f>I35 &amp; "/replications/" &amp; A35</f>
        <v>/intake/new-patient/brandt-lena/mechanisms/cm-l/replications/rep-l-1</v>
      </c>
      <c r="K35" s="3" t="b">
        <f>IF(AND(F35 &lt;= 0.05, E35 = 1), TRUE(), FALSE())</f>
        <v>1</v>
      </c>
      <c r="L35" s="3" t="str">
        <f>INDEX(CausalMechanisms!M2:M999, MATCH(C35,CausalMechanisms!A2:A999, 0))</f>
        <v>Indigenous American</v>
      </c>
      <c r="M35" s="3" t="b">
        <f>IF(G35 = L35, FALSE(), TRUE())</f>
        <v>1</v>
      </c>
      <c r="N35" s="3" t="b">
        <f>IF(AND(K35, M35), TRUE(), FALSE())</f>
        <v>1</v>
      </c>
      <c r="O35" s="2" t="s">
        <v>418</v>
      </c>
    </row>
    <row r="36">
      <c r="A36" s="2" t="s">
        <v>436</v>
      </c>
      <c r="B36" s="2" t="s">
        <v>436</v>
      </c>
      <c r="C36" s="2" t="s">
        <v>369</v>
      </c>
      <c r="D36" s="2" t="s">
        <v>78</v>
      </c>
      <c r="E36" s="5">
        <v>1</v>
      </c>
      <c r="F36" s="2">
        <v>0.012</v>
      </c>
      <c r="G36" s="2" t="s">
        <v>157</v>
      </c>
      <c r="H36" s="3" t="str">
        <f>B36</f>
        <v>rep-l-2</v>
      </c>
      <c r="I36" s="3" t="str">
        <f>INDEX(CausalMechanisms!L2:L999, MATCH(C36,CausalMechanisms!A2:A999, 0))</f>
        <v>/intake/new-patient/brandt-lena/mechanisms/cm-l</v>
      </c>
      <c r="J36" s="3" t="str">
        <f>I36 &amp; "/replications/" &amp; A36</f>
        <v>/intake/new-patient/brandt-lena/mechanisms/cm-l/replications/rep-l-2</v>
      </c>
      <c r="K36" s="3" t="b">
        <f>IF(AND(F36 &lt;= 0.05, E36 = 1), TRUE(), FALSE())</f>
        <v>1</v>
      </c>
      <c r="L36" s="3" t="str">
        <f>INDEX(CausalMechanisms!M2:M999, MATCH(C36,CausalMechanisms!A2:A999, 0))</f>
        <v>Indigenous American</v>
      </c>
      <c r="M36" s="3" t="b">
        <f>IF(G36 = L36, FALSE(), TRUE())</f>
        <v>1</v>
      </c>
      <c r="N36" s="3" t="b">
        <f>IF(AND(K36, M36), TRUE(), FALSE())</f>
        <v>1</v>
      </c>
      <c r="O36" s="2" t="s">
        <v>420</v>
      </c>
    </row>
    <row r="37">
      <c r="A37" s="2" t="s">
        <v>437</v>
      </c>
      <c r="B37" s="2" t="s">
        <v>437</v>
      </c>
      <c r="C37" s="2" t="s">
        <v>369</v>
      </c>
      <c r="D37" s="2" t="s">
        <v>84</v>
      </c>
      <c r="E37" s="5">
        <v>1</v>
      </c>
      <c r="F37" s="2">
        <v>0.029</v>
      </c>
      <c r="G37" s="2" t="s">
        <v>171</v>
      </c>
      <c r="H37" s="3" t="str">
        <f>B37</f>
        <v>rep-l-3</v>
      </c>
      <c r="I37" s="3" t="str">
        <f>INDEX(CausalMechanisms!L2:L999, MATCH(C37,CausalMechanisms!A2:A999, 0))</f>
        <v>/intake/new-patient/brandt-lena/mechanisms/cm-l</v>
      </c>
      <c r="J37" s="3" t="str">
        <f>I37 &amp; "/replications/" &amp; A37</f>
        <v>/intake/new-patient/brandt-lena/mechanisms/cm-l/replications/rep-l-3</v>
      </c>
      <c r="K37" s="3" t="b">
        <f>IF(AND(F37 &lt;= 0.05, E37 = 1), TRUE(), FALSE())</f>
        <v>1</v>
      </c>
      <c r="L37" s="3" t="str">
        <f>INDEX(CausalMechanisms!M2:M999, MATCH(C37,CausalMechanisms!A2:A999, 0))</f>
        <v>Indigenous American</v>
      </c>
      <c r="M37" s="3" t="b">
        <f>IF(G37 = L37, FALSE(), TRUE())</f>
        <v>0</v>
      </c>
      <c r="N37" s="3" t="b">
        <f>IF(AND(K37, M37), TRUE(), FALSE())</f>
        <v>0</v>
      </c>
      <c r="O37" s="2" t="s">
        <v>422</v>
      </c>
    </row>
  </sheetData>
  <autoFilter ref="A1:O1"/>
  <headerFooter/>
  <legacyDrawing r:id="rId1"/>
</worksheet>
</file>

<file path=xl/worksheets/sheet1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5"/>
  <sheetViews>
    <sheetView workbookViewId="0">
      <pane ySplit="1" topLeftCell="A2" state="frozen" activePane="bottomLeft"/>
      <selection pane="bottomLeft" activeCell="A1" sqref="A1"/>
    </sheetView>
  </sheetViews>
  <sheetFormatPr defaultRowHeight="15"/>
  <cols>
    <col min="1" max="1" width="22.59052085876465" customWidth="1"/>
    <col min="2" max="2" width="17.443378448486328" customWidth="1"/>
    <col min="3" max="3" width="17.92210578918457" customWidth="1"/>
    <col min="4" max="4" width="21.37149429321289" customWidth="1"/>
    <col min="5" max="5" width="22.088184356689453" customWidth="1"/>
    <col min="6" max="6" width="17.443378448486328" customWidth="1"/>
    <col min="7" max="7" width="17.443378448486328" customWidth="1"/>
    <col min="8" max="8" width="53.756568908691406" customWidth="1"/>
    <col min="9" max="9" width="74.10758209228516" customWidth="1"/>
    <col min="10" max="10" width="17.443378448486328" customWidth="1"/>
    <col min="11" max="11" width="67.66275787353516" customWidth="1"/>
  </cols>
  <sheetData>
    <row r="1">
      <c r="A1" s="1" t="s">
        <v>438</v>
      </c>
      <c r="B1" s="1" t="s">
        <v>439</v>
      </c>
      <c r="C1" s="1" t="s">
        <v>282</v>
      </c>
      <c r="D1" s="1" t="s">
        <v>440</v>
      </c>
      <c r="E1" s="1" t="s">
        <v>441</v>
      </c>
      <c r="F1" s="1" t="s">
        <v>442</v>
      </c>
      <c r="G1" s="1" t="s">
        <v>3</v>
      </c>
      <c r="H1" s="1" t="s">
        <v>23</v>
      </c>
      <c r="I1" s="1" t="s">
        <v>4</v>
      </c>
      <c r="J1" s="1" t="s">
        <v>443</v>
      </c>
      <c r="K1" s="1" t="s">
        <v>210</v>
      </c>
    </row>
    <row r="2">
      <c r="A2" s="2" t="s">
        <v>444</v>
      </c>
      <c r="B2" s="2" t="s">
        <v>444</v>
      </c>
      <c r="C2" s="2" t="s">
        <v>298</v>
      </c>
      <c r="D2" s="2" t="s">
        <v>445</v>
      </c>
      <c r="E2" s="2">
        <v>0.012</v>
      </c>
      <c r="F2" s="2">
        <v>0.1</v>
      </c>
      <c r="G2" s="3" t="str">
        <f>B2</f>
        <v>nct-a-1</v>
      </c>
      <c r="H2" s="3" t="str">
        <f>INDEX(CausalMechanisms!L2:L999, MATCH(C2,CausalMechanisms!A2:A999, 0))</f>
        <v>/intake/new-patient/reyes-ana/mechanisms/cm-a</v>
      </c>
      <c r="I2" s="3" t="str">
        <f>H2 &amp; "/neg-controls/" &amp; A2</f>
        <v>/intake/new-patient/reyes-ana/mechanisms/cm-a/neg-controls/nct-a-1</v>
      </c>
      <c r="J2" s="3" t="b">
        <f>IF(E2 &lt;= F2, TRUE(), FALSE())</f>
        <v>1</v>
      </c>
      <c r="K2" s="2" t="s">
        <v>446</v>
      </c>
    </row>
    <row r="3">
      <c r="A3" s="2" t="s">
        <v>447</v>
      </c>
      <c r="B3" s="2" t="s">
        <v>447</v>
      </c>
      <c r="C3" s="2" t="s">
        <v>298</v>
      </c>
      <c r="D3" s="2" t="s">
        <v>445</v>
      </c>
      <c r="E3" s="2">
        <v>0.028</v>
      </c>
      <c r="F3" s="2">
        <v>0.1</v>
      </c>
      <c r="G3" s="3" t="str">
        <f>B3</f>
        <v>nct-a-2</v>
      </c>
      <c r="H3" s="3" t="str">
        <f>INDEX(CausalMechanisms!L2:L999, MATCH(C3,CausalMechanisms!A2:A999, 0))</f>
        <v>/intake/new-patient/reyes-ana/mechanisms/cm-a</v>
      </c>
      <c r="I3" s="3" t="str">
        <f>H3 &amp; "/neg-controls/" &amp; A3</f>
        <v>/intake/new-patient/reyes-ana/mechanisms/cm-a/neg-controls/nct-a-2</v>
      </c>
      <c r="J3" s="3" t="b">
        <f>IF(E3 &lt;= F3, TRUE(), FALSE())</f>
        <v>1</v>
      </c>
      <c r="K3" s="2" t="s">
        <v>446</v>
      </c>
    </row>
    <row r="4">
      <c r="A4" s="2" t="s">
        <v>448</v>
      </c>
      <c r="B4" s="2" t="s">
        <v>448</v>
      </c>
      <c r="C4" s="2" t="s">
        <v>311</v>
      </c>
      <c r="D4" s="2" t="s">
        <v>445</v>
      </c>
      <c r="E4" s="2">
        <v>0.015</v>
      </c>
      <c r="F4" s="2">
        <v>0.1</v>
      </c>
      <c r="G4" s="3" t="str">
        <f>B4</f>
        <v>nct-b-1</v>
      </c>
      <c r="H4" s="3" t="str">
        <f>INDEX(CausalMechanisms!L2:L999, MATCH(C4,CausalMechanisms!A2:A999, 0))</f>
        <v>/intake/new-patient/okafor-bili/mechanisms/cm-b</v>
      </c>
      <c r="I4" s="3" t="str">
        <f>H4 &amp; "/neg-controls/" &amp; A4</f>
        <v>/intake/new-patient/okafor-bili/mechanisms/cm-b/neg-controls/nct-b-1</v>
      </c>
      <c r="J4" s="3" t="b">
        <f>IF(E4 &lt;= F4, TRUE(), FALSE())</f>
        <v>1</v>
      </c>
      <c r="K4" s="2" t="s">
        <v>449</v>
      </c>
    </row>
    <row r="5">
      <c r="A5" s="2" t="s">
        <v>450</v>
      </c>
      <c r="B5" s="2" t="s">
        <v>450</v>
      </c>
      <c r="C5" s="2" t="s">
        <v>311</v>
      </c>
      <c r="D5" s="2" t="s">
        <v>445</v>
      </c>
      <c r="E5" s="2">
        <v>0.024</v>
      </c>
      <c r="F5" s="2">
        <v>0.1</v>
      </c>
      <c r="G5" s="3" t="str">
        <f>B5</f>
        <v>nct-b-2</v>
      </c>
      <c r="H5" s="3" t="str">
        <f>INDEX(CausalMechanisms!L2:L999, MATCH(C5,CausalMechanisms!A2:A999, 0))</f>
        <v>/intake/new-patient/okafor-bili/mechanisms/cm-b</v>
      </c>
      <c r="I5" s="3" t="str">
        <f>H5 &amp; "/neg-controls/" &amp; A5</f>
        <v>/intake/new-patient/okafor-bili/mechanisms/cm-b/neg-controls/nct-b-2</v>
      </c>
      <c r="J5" s="3" t="b">
        <f>IF(E5 &lt;= F5, TRUE(), FALSE())</f>
        <v>1</v>
      </c>
      <c r="K5" s="2" t="s">
        <v>449</v>
      </c>
    </row>
    <row r="6">
      <c r="A6" s="2" t="s">
        <v>451</v>
      </c>
      <c r="B6" s="2" t="s">
        <v>451</v>
      </c>
      <c r="C6" s="2" t="s">
        <v>325</v>
      </c>
      <c r="D6" s="2" t="s">
        <v>445</v>
      </c>
      <c r="E6" s="2">
        <v>0.009</v>
      </c>
      <c r="F6" s="2">
        <v>0.1</v>
      </c>
      <c r="G6" s="3" t="str">
        <f>B6</f>
        <v>nct-d-1</v>
      </c>
      <c r="H6" s="3" t="str">
        <f>INDEX(CausalMechanisms!L2:L999, MATCH(C6,CausalMechanisms!A2:A999, 0))</f>
        <v>/intake/new-patient/santos-diego/mechanisms/cm-d</v>
      </c>
      <c r="I6" s="3" t="str">
        <f>H6 &amp; "/neg-controls/" &amp; A6</f>
        <v>/intake/new-patient/santos-diego/mechanisms/cm-d/neg-controls/nct-d-1</v>
      </c>
      <c r="J6" s="3" t="b">
        <f>IF(E6 &lt;= F6, TRUE(), FALSE())</f>
        <v>1</v>
      </c>
      <c r="K6" s="2" t="s">
        <v>452</v>
      </c>
    </row>
    <row r="7">
      <c r="A7" s="2" t="s">
        <v>453</v>
      </c>
      <c r="B7" s="2" t="s">
        <v>453</v>
      </c>
      <c r="C7" s="2" t="s">
        <v>325</v>
      </c>
      <c r="D7" s="2" t="s">
        <v>445</v>
      </c>
      <c r="E7" s="2">
        <v>0.031</v>
      </c>
      <c r="F7" s="2">
        <v>0.1</v>
      </c>
      <c r="G7" s="3" t="str">
        <f>B7</f>
        <v>nct-d-2</v>
      </c>
      <c r="H7" s="3" t="str">
        <f>INDEX(CausalMechanisms!L2:L999, MATCH(C7,CausalMechanisms!A2:A999, 0))</f>
        <v>/intake/new-patient/santos-diego/mechanisms/cm-d</v>
      </c>
      <c r="I7" s="3" t="str">
        <f>H7 &amp; "/neg-controls/" &amp; A7</f>
        <v>/intake/new-patient/santos-diego/mechanisms/cm-d/neg-controls/nct-d-2</v>
      </c>
      <c r="J7" s="3" t="b">
        <f>IF(E7 &lt;= F7, TRUE(), FALSE())</f>
        <v>1</v>
      </c>
      <c r="K7" s="2" t="s">
        <v>452</v>
      </c>
    </row>
    <row r="8">
      <c r="A8" s="2" t="s">
        <v>454</v>
      </c>
      <c r="B8" s="2" t="s">
        <v>454</v>
      </c>
      <c r="C8" s="2" t="s">
        <v>332</v>
      </c>
      <c r="D8" s="2" t="s">
        <v>445</v>
      </c>
      <c r="E8" s="2">
        <v>0.011</v>
      </c>
      <c r="F8" s="2">
        <v>0.1</v>
      </c>
      <c r="G8" s="3" t="str">
        <f>B8</f>
        <v>nct-e-1</v>
      </c>
      <c r="H8" s="3" t="str">
        <f>INDEX(CausalMechanisms!L2:L999, MATCH(C8,CausalMechanisms!A2:A999, 0))</f>
        <v>/intake/new-patient/mensah-esi/mechanisms/cm-e</v>
      </c>
      <c r="I8" s="3" t="str">
        <f>H8 &amp; "/neg-controls/" &amp; A8</f>
        <v>/intake/new-patient/mensah-esi/mechanisms/cm-e/neg-controls/nct-e-1</v>
      </c>
      <c r="J8" s="3" t="b">
        <f>IF(E8 &lt;= F8, TRUE(), FALSE())</f>
        <v>1</v>
      </c>
      <c r="K8" s="2" t="s">
        <v>455</v>
      </c>
    </row>
    <row r="9">
      <c r="A9" s="2" t="s">
        <v>456</v>
      </c>
      <c r="B9" s="2" t="s">
        <v>456</v>
      </c>
      <c r="C9" s="2" t="s">
        <v>332</v>
      </c>
      <c r="D9" s="2" t="s">
        <v>445</v>
      </c>
      <c r="E9" s="2">
        <v>0.026</v>
      </c>
      <c r="F9" s="2">
        <v>0.1</v>
      </c>
      <c r="G9" s="3" t="str">
        <f>B9</f>
        <v>nct-e-2</v>
      </c>
      <c r="H9" s="3" t="str">
        <f>INDEX(CausalMechanisms!L2:L999, MATCH(C9,CausalMechanisms!A2:A999, 0))</f>
        <v>/intake/new-patient/mensah-esi/mechanisms/cm-e</v>
      </c>
      <c r="I9" s="3" t="str">
        <f>H9 &amp; "/neg-controls/" &amp; A9</f>
        <v>/intake/new-patient/mensah-esi/mechanisms/cm-e/neg-controls/nct-e-2</v>
      </c>
      <c r="J9" s="3" t="b">
        <f>IF(E9 &lt;= F9, TRUE(), FALSE())</f>
        <v>1</v>
      </c>
      <c r="K9" s="2" t="s">
        <v>455</v>
      </c>
    </row>
    <row r="10">
      <c r="A10" s="2" t="s">
        <v>457</v>
      </c>
      <c r="B10" s="2" t="s">
        <v>457</v>
      </c>
      <c r="C10" s="2" t="s">
        <v>339</v>
      </c>
      <c r="D10" s="2" t="s">
        <v>445</v>
      </c>
      <c r="E10" s="2">
        <v>0.008</v>
      </c>
      <c r="F10" s="2">
        <v>0.1</v>
      </c>
      <c r="G10" s="3" t="str">
        <f>B10</f>
        <v>nct-f-1</v>
      </c>
      <c r="H10" s="3" t="str">
        <f>INDEX(CausalMechanisms!L2:L999, MATCH(C10,CausalMechanisms!A2:A999, 0))</f>
        <v>/intake/new-patient/haidar-faisal/mechanisms/cm-f</v>
      </c>
      <c r="I10" s="3" t="str">
        <f>H10 &amp; "/neg-controls/" &amp; A10</f>
        <v>/intake/new-patient/haidar-faisal/mechanisms/cm-f/neg-controls/nct-f-1</v>
      </c>
      <c r="J10" s="3" t="b">
        <f>IF(E10 &lt;= F10, TRUE(), FALSE())</f>
        <v>1</v>
      </c>
      <c r="K10" s="2" t="s">
        <v>458</v>
      </c>
    </row>
    <row r="11">
      <c r="A11" s="2" t="s">
        <v>459</v>
      </c>
      <c r="B11" s="2" t="s">
        <v>459</v>
      </c>
      <c r="C11" s="2" t="s">
        <v>339</v>
      </c>
      <c r="D11" s="2" t="s">
        <v>445</v>
      </c>
      <c r="E11" s="2">
        <v>0.022</v>
      </c>
      <c r="F11" s="2">
        <v>0.1</v>
      </c>
      <c r="G11" s="3" t="str">
        <f>B11</f>
        <v>nct-f-2</v>
      </c>
      <c r="H11" s="3" t="str">
        <f>INDEX(CausalMechanisms!L2:L999, MATCH(C11,CausalMechanisms!A2:A999, 0))</f>
        <v>/intake/new-patient/haidar-faisal/mechanisms/cm-f</v>
      </c>
      <c r="I11" s="3" t="str">
        <f>H11 &amp; "/neg-controls/" &amp; A11</f>
        <v>/intake/new-patient/haidar-faisal/mechanisms/cm-f/neg-controls/nct-f-2</v>
      </c>
      <c r="J11" s="3" t="b">
        <f>IF(E11 &lt;= F11, TRUE(), FALSE())</f>
        <v>1</v>
      </c>
      <c r="K11" s="2" t="s">
        <v>458</v>
      </c>
    </row>
    <row r="12">
      <c r="A12" s="2" t="s">
        <v>460</v>
      </c>
      <c r="B12" s="2" t="s">
        <v>460</v>
      </c>
      <c r="C12" s="2" t="s">
        <v>346</v>
      </c>
      <c r="D12" s="2" t="s">
        <v>445</v>
      </c>
      <c r="E12" s="2">
        <v>0.007</v>
      </c>
      <c r="F12" s="2">
        <v>0.1</v>
      </c>
      <c r="G12" s="3" t="str">
        <f>B12</f>
        <v>nct-g-1</v>
      </c>
      <c r="H12" s="3" t="str">
        <f>INDEX(CausalMechanisms!L2:L999, MATCH(C12,CausalMechanisms!A2:A999, 0))</f>
        <v>/intake/new-patient/lin-grace/mechanisms/cm-g</v>
      </c>
      <c r="I12" s="3" t="str">
        <f>H12 &amp; "/neg-controls/" &amp; A12</f>
        <v>/intake/new-patient/lin-grace/mechanisms/cm-g/neg-controls/nct-g-1</v>
      </c>
      <c r="J12" s="3" t="b">
        <f>IF(E12 &lt;= F12, TRUE(), FALSE())</f>
        <v>1</v>
      </c>
      <c r="K12" s="2" t="s">
        <v>461</v>
      </c>
    </row>
    <row r="13">
      <c r="A13" s="2" t="s">
        <v>462</v>
      </c>
      <c r="B13" s="2" t="s">
        <v>462</v>
      </c>
      <c r="C13" s="2" t="s">
        <v>346</v>
      </c>
      <c r="D13" s="2" t="s">
        <v>445</v>
      </c>
      <c r="E13" s="2">
        <v>0.019</v>
      </c>
      <c r="F13" s="2">
        <v>0.1</v>
      </c>
      <c r="G13" s="3" t="str">
        <f>B13</f>
        <v>nct-g-2</v>
      </c>
      <c r="H13" s="3" t="str">
        <f>INDEX(CausalMechanisms!L2:L999, MATCH(C13,CausalMechanisms!A2:A999, 0))</f>
        <v>/intake/new-patient/lin-grace/mechanisms/cm-g</v>
      </c>
      <c r="I13" s="3" t="str">
        <f>H13 &amp; "/neg-controls/" &amp; A13</f>
        <v>/intake/new-patient/lin-grace/mechanisms/cm-g/neg-controls/nct-g-2</v>
      </c>
      <c r="J13" s="3" t="b">
        <f>IF(E13 &lt;= F13, TRUE(), FALSE())</f>
        <v>1</v>
      </c>
      <c r="K13" s="2" t="s">
        <v>461</v>
      </c>
    </row>
    <row r="14">
      <c r="A14" s="2" t="s">
        <v>463</v>
      </c>
      <c r="B14" s="2" t="s">
        <v>463</v>
      </c>
      <c r="C14" s="2" t="s">
        <v>318</v>
      </c>
      <c r="D14" s="2" t="s">
        <v>445</v>
      </c>
      <c r="E14" s="2">
        <v>0.013</v>
      </c>
      <c r="F14" s="2">
        <v>0.1</v>
      </c>
      <c r="G14" s="3" t="str">
        <f>B14</f>
        <v>nct-c-1</v>
      </c>
      <c r="H14" s="3" t="str">
        <f>INDEX(CausalMechanisms!L2:L999, MATCH(C14,CausalMechanisms!A2:A999, 0))</f>
        <v>/intake/new-patient/wei-chen/mechanisms/cm-c</v>
      </c>
      <c r="I14" s="3" t="str">
        <f>H14 &amp; "/neg-controls/" &amp; A14</f>
        <v>/intake/new-patient/wei-chen/mechanisms/cm-c/neg-controls/nct-c-1</v>
      </c>
      <c r="J14" s="3" t="b">
        <f>IF(E14 &lt;= F14, TRUE(), FALSE())</f>
        <v>1</v>
      </c>
      <c r="K14" s="2" t="s">
        <v>464</v>
      </c>
    </row>
    <row r="15">
      <c r="A15" s="2" t="s">
        <v>465</v>
      </c>
      <c r="B15" s="2" t="s">
        <v>465</v>
      </c>
      <c r="C15" s="2" t="s">
        <v>318</v>
      </c>
      <c r="D15" s="2" t="s">
        <v>445</v>
      </c>
      <c r="E15" s="2">
        <v>0.46</v>
      </c>
      <c r="F15" s="2">
        <v>0.1</v>
      </c>
      <c r="G15" s="3" t="str">
        <f>B15</f>
        <v>nct-c-2</v>
      </c>
      <c r="H15" s="3" t="str">
        <f>INDEX(CausalMechanisms!L2:L999, MATCH(C15,CausalMechanisms!A2:A999, 0))</f>
        <v>/intake/new-patient/wei-chen/mechanisms/cm-c</v>
      </c>
      <c r="I15" s="3" t="str">
        <f>H15 &amp; "/neg-controls/" &amp; A15</f>
        <v>/intake/new-patient/wei-chen/mechanisms/cm-c/neg-controls/nct-c-2</v>
      </c>
      <c r="J15" s="3" t="b">
        <f>IF(E15 &lt;= F15, TRUE(), FALSE())</f>
        <v>0</v>
      </c>
      <c r="K15" s="2" t="s">
        <v>466</v>
      </c>
    </row>
    <row r="16">
      <c r="A16" s="2" t="s">
        <v>467</v>
      </c>
      <c r="B16" s="2" t="s">
        <v>467</v>
      </c>
      <c r="C16" s="2" t="s">
        <v>353</v>
      </c>
      <c r="D16" s="2" t="s">
        <v>445</v>
      </c>
      <c r="E16" s="2">
        <v>0.012</v>
      </c>
      <c r="F16" s="2">
        <v>0.1</v>
      </c>
      <c r="G16" s="3" t="str">
        <f>B16</f>
        <v>nct-h-1</v>
      </c>
      <c r="H16" s="3" t="str">
        <f>INDEX(CausalMechanisms!L2:L999, MATCH(C16,CausalMechanisms!A2:A999, 0))</f>
        <v>/intake/new-patient/yamamoto-hana/mechanisms/cm-h</v>
      </c>
      <c r="I16" s="3" t="str">
        <f>H16 &amp; "/neg-controls/" &amp; A16</f>
        <v>/intake/new-patient/yamamoto-hana/mechanisms/cm-h/neg-controls/nct-h-1</v>
      </c>
      <c r="J16" s="3" t="b">
        <f>IF(E16 &lt;= F16, TRUE(), FALSE())</f>
        <v>1</v>
      </c>
      <c r="K16" s="2" t="s">
        <v>446</v>
      </c>
    </row>
    <row r="17">
      <c r="A17" s="2" t="s">
        <v>468</v>
      </c>
      <c r="B17" s="2" t="s">
        <v>468</v>
      </c>
      <c r="C17" s="2" t="s">
        <v>353</v>
      </c>
      <c r="D17" s="2" t="s">
        <v>445</v>
      </c>
      <c r="E17" s="2">
        <v>0.028</v>
      </c>
      <c r="F17" s="2">
        <v>0.1</v>
      </c>
      <c r="G17" s="3" t="str">
        <f>B17</f>
        <v>nct-h-2</v>
      </c>
      <c r="H17" s="3" t="str">
        <f>INDEX(CausalMechanisms!L2:L999, MATCH(C17,CausalMechanisms!A2:A999, 0))</f>
        <v>/intake/new-patient/yamamoto-hana/mechanisms/cm-h</v>
      </c>
      <c r="I17" s="3" t="str">
        <f>H17 &amp; "/neg-controls/" &amp; A17</f>
        <v>/intake/new-patient/yamamoto-hana/mechanisms/cm-h/neg-controls/nct-h-2</v>
      </c>
      <c r="J17" s="3" t="b">
        <f>IF(E17 &lt;= F17, TRUE(), FALSE())</f>
        <v>1</v>
      </c>
      <c r="K17" s="2" t="s">
        <v>446</v>
      </c>
    </row>
    <row r="18">
      <c r="A18" s="2" t="s">
        <v>469</v>
      </c>
      <c r="B18" s="2" t="s">
        <v>469</v>
      </c>
      <c r="C18" s="2" t="s">
        <v>357</v>
      </c>
      <c r="D18" s="2" t="s">
        <v>445</v>
      </c>
      <c r="E18" s="2">
        <v>0.009</v>
      </c>
      <c r="F18" s="2">
        <v>0.1</v>
      </c>
      <c r="G18" s="3" t="str">
        <f>B18</f>
        <v>nct-i-1</v>
      </c>
      <c r="H18" s="3" t="str">
        <f>INDEX(CausalMechanisms!L2:L999, MATCH(C18,CausalMechanisms!A2:A999, 0))</f>
        <v>/intake/new-patient/conteh-ibrahim/mechanisms/cm-i</v>
      </c>
      <c r="I18" s="3" t="str">
        <f>H18 &amp; "/neg-controls/" &amp; A18</f>
        <v>/intake/new-patient/conteh-ibrahim/mechanisms/cm-i/neg-controls/nct-i-1</v>
      </c>
      <c r="J18" s="3" t="b">
        <f>IF(E18 &lt;= F18, TRUE(), FALSE())</f>
        <v>1</v>
      </c>
      <c r="K18" s="2" t="s">
        <v>452</v>
      </c>
    </row>
    <row r="19">
      <c r="A19" s="2" t="s">
        <v>470</v>
      </c>
      <c r="B19" s="2" t="s">
        <v>470</v>
      </c>
      <c r="C19" s="2" t="s">
        <v>357</v>
      </c>
      <c r="D19" s="2" t="s">
        <v>445</v>
      </c>
      <c r="E19" s="2">
        <v>0.031</v>
      </c>
      <c r="F19" s="2">
        <v>0.1</v>
      </c>
      <c r="G19" s="3" t="str">
        <f>B19</f>
        <v>nct-i-2</v>
      </c>
      <c r="H19" s="3" t="str">
        <f>INDEX(CausalMechanisms!L2:L999, MATCH(C19,CausalMechanisms!A2:A999, 0))</f>
        <v>/intake/new-patient/conteh-ibrahim/mechanisms/cm-i</v>
      </c>
      <c r="I19" s="3" t="str">
        <f>H19 &amp; "/neg-controls/" &amp; A19</f>
        <v>/intake/new-patient/conteh-ibrahim/mechanisms/cm-i/neg-controls/nct-i-2</v>
      </c>
      <c r="J19" s="3" t="b">
        <f>IF(E19 &lt;= F19, TRUE(), FALSE())</f>
        <v>1</v>
      </c>
      <c r="K19" s="2" t="s">
        <v>452</v>
      </c>
    </row>
    <row r="20">
      <c r="A20" s="2" t="s">
        <v>471</v>
      </c>
      <c r="B20" s="2" t="s">
        <v>471</v>
      </c>
      <c r="C20" s="2" t="s">
        <v>361</v>
      </c>
      <c r="D20" s="2" t="s">
        <v>445</v>
      </c>
      <c r="E20" s="2">
        <v>0.015</v>
      </c>
      <c r="F20" s="2">
        <v>0.1</v>
      </c>
      <c r="G20" s="3" t="str">
        <f>B20</f>
        <v>nct-j-1</v>
      </c>
      <c r="H20" s="3" t="str">
        <f>INDEX(CausalMechanisms!L2:L999, MATCH(C20,CausalMechanisms!A2:A999, 0))</f>
        <v>/intake/new-patient/brooks-jamal/mechanisms/cm-j</v>
      </c>
      <c r="I20" s="3" t="str">
        <f>H20 &amp; "/neg-controls/" &amp; A20</f>
        <v>/intake/new-patient/brooks-jamal/mechanisms/cm-j/neg-controls/nct-j-1</v>
      </c>
      <c r="J20" s="3" t="b">
        <f>IF(E20 &lt;= F20, TRUE(), FALSE())</f>
        <v>1</v>
      </c>
      <c r="K20" s="2" t="s">
        <v>449</v>
      </c>
    </row>
    <row r="21">
      <c r="A21" s="2" t="s">
        <v>472</v>
      </c>
      <c r="B21" s="2" t="s">
        <v>472</v>
      </c>
      <c r="C21" s="2" t="s">
        <v>361</v>
      </c>
      <c r="D21" s="2" t="s">
        <v>445</v>
      </c>
      <c r="E21" s="2">
        <v>0.024</v>
      </c>
      <c r="F21" s="2">
        <v>0.1</v>
      </c>
      <c r="G21" s="3" t="str">
        <f>B21</f>
        <v>nct-j-2</v>
      </c>
      <c r="H21" s="3" t="str">
        <f>INDEX(CausalMechanisms!L2:L999, MATCH(C21,CausalMechanisms!A2:A999, 0))</f>
        <v>/intake/new-patient/brooks-jamal/mechanisms/cm-j</v>
      </c>
      <c r="I21" s="3" t="str">
        <f>H21 &amp; "/neg-controls/" &amp; A21</f>
        <v>/intake/new-patient/brooks-jamal/mechanisms/cm-j/neg-controls/nct-j-2</v>
      </c>
      <c r="J21" s="3" t="b">
        <f>IF(E21 &lt;= F21, TRUE(), FALSE())</f>
        <v>1</v>
      </c>
      <c r="K21" s="2" t="s">
        <v>449</v>
      </c>
    </row>
    <row r="22">
      <c r="A22" s="2" t="s">
        <v>473</v>
      </c>
      <c r="B22" s="2" t="s">
        <v>473</v>
      </c>
      <c r="C22" s="2" t="s">
        <v>365</v>
      </c>
      <c r="D22" s="2" t="s">
        <v>445</v>
      </c>
      <c r="E22" s="2">
        <v>0.008</v>
      </c>
      <c r="F22" s="2">
        <v>0.1</v>
      </c>
      <c r="G22" s="3" t="str">
        <f>B22</f>
        <v>nct-k-1</v>
      </c>
      <c r="H22" s="3" t="str">
        <f>INDEX(CausalMechanisms!L2:L999, MATCH(C22,CausalMechanisms!A2:A999, 0))</f>
        <v>/intake/new-patient/nair-kavya/mechanisms/cm-k</v>
      </c>
      <c r="I22" s="3" t="str">
        <f>H22 &amp; "/neg-controls/" &amp; A22</f>
        <v>/intake/new-patient/nair-kavya/mechanisms/cm-k/neg-controls/nct-k-1</v>
      </c>
      <c r="J22" s="3" t="b">
        <f>IF(E22 &lt;= F22, TRUE(), FALSE())</f>
        <v>1</v>
      </c>
      <c r="K22" s="2" t="s">
        <v>458</v>
      </c>
    </row>
    <row r="23">
      <c r="A23" s="2" t="s">
        <v>474</v>
      </c>
      <c r="B23" s="2" t="s">
        <v>474</v>
      </c>
      <c r="C23" s="2" t="s">
        <v>365</v>
      </c>
      <c r="D23" s="2" t="s">
        <v>445</v>
      </c>
      <c r="E23" s="2">
        <v>0.022</v>
      </c>
      <c r="F23" s="2">
        <v>0.1</v>
      </c>
      <c r="G23" s="3" t="str">
        <f>B23</f>
        <v>nct-k-2</v>
      </c>
      <c r="H23" s="3" t="str">
        <f>INDEX(CausalMechanisms!L2:L999, MATCH(C23,CausalMechanisms!A2:A999, 0))</f>
        <v>/intake/new-patient/nair-kavya/mechanisms/cm-k</v>
      </c>
      <c r="I23" s="3" t="str">
        <f>H23 &amp; "/neg-controls/" &amp; A23</f>
        <v>/intake/new-patient/nair-kavya/mechanisms/cm-k/neg-controls/nct-k-2</v>
      </c>
      <c r="J23" s="3" t="b">
        <f>IF(E23 &lt;= F23, TRUE(), FALSE())</f>
        <v>1</v>
      </c>
      <c r="K23" s="2" t="s">
        <v>458</v>
      </c>
    </row>
    <row r="24">
      <c r="A24" s="2" t="s">
        <v>475</v>
      </c>
      <c r="B24" s="2" t="s">
        <v>475</v>
      </c>
      <c r="C24" s="2" t="s">
        <v>369</v>
      </c>
      <c r="D24" s="2" t="s">
        <v>445</v>
      </c>
      <c r="E24" s="2">
        <v>0.007</v>
      </c>
      <c r="F24" s="2">
        <v>0.1</v>
      </c>
      <c r="G24" s="3" t="str">
        <f>B24</f>
        <v>nct-l-1</v>
      </c>
      <c r="H24" s="3" t="str">
        <f>INDEX(CausalMechanisms!L2:L999, MATCH(C24,CausalMechanisms!A2:A999, 0))</f>
        <v>/intake/new-patient/brandt-lena/mechanisms/cm-l</v>
      </c>
      <c r="I24" s="3" t="str">
        <f>H24 &amp; "/neg-controls/" &amp; A24</f>
        <v>/intake/new-patient/brandt-lena/mechanisms/cm-l/neg-controls/nct-l-1</v>
      </c>
      <c r="J24" s="3" t="b">
        <f>IF(E24 &lt;= F24, TRUE(), FALSE())</f>
        <v>1</v>
      </c>
      <c r="K24" s="2" t="s">
        <v>461</v>
      </c>
    </row>
    <row r="25">
      <c r="A25" s="2" t="s">
        <v>476</v>
      </c>
      <c r="B25" s="2" t="s">
        <v>476</v>
      </c>
      <c r="C25" s="2" t="s">
        <v>369</v>
      </c>
      <c r="D25" s="2" t="s">
        <v>445</v>
      </c>
      <c r="E25" s="2">
        <v>0.019</v>
      </c>
      <c r="F25" s="2">
        <v>0.1</v>
      </c>
      <c r="G25" s="3" t="str">
        <f>B25</f>
        <v>nct-l-2</v>
      </c>
      <c r="H25" s="3" t="str">
        <f>INDEX(CausalMechanisms!L2:L999, MATCH(C25,CausalMechanisms!A2:A999, 0))</f>
        <v>/intake/new-patient/brandt-lena/mechanisms/cm-l</v>
      </c>
      <c r="I25" s="3" t="str">
        <f>H25 &amp; "/neg-controls/" &amp; A25</f>
        <v>/intake/new-patient/brandt-lena/mechanisms/cm-l/neg-controls/nct-l-2</v>
      </c>
      <c r="J25" s="3" t="b">
        <f>IF(E25 &lt;= F25, TRUE(), FALSE())</f>
        <v>1</v>
      </c>
      <c r="K25" s="2" t="s">
        <v>461</v>
      </c>
    </row>
  </sheetData>
  <autoFilter ref="A1:K1"/>
  <headerFooter/>
  <legacyDrawing r:id="rId1"/>
</worksheet>
</file>

<file path=xl/worksheets/sheet1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
  <sheetViews>
    <sheetView workbookViewId="0">
      <pane ySplit="1" topLeftCell="A2" state="frozen" activePane="bottomLeft"/>
      <selection pane="bottomLeft" activeCell="A1" sqref="A1"/>
    </sheetView>
  </sheetViews>
  <sheetFormatPr defaultRowHeight="15"/>
  <cols>
    <col min="1" max="1" width="25.770061492919922" customWidth="1"/>
    <col min="2" max="2" width="33.059879302978516" customWidth="1"/>
    <col min="3" max="3" width="17.443378448486328" customWidth="1"/>
    <col min="4" max="4" width="17.443378448486328" customWidth="1"/>
    <col min="5" max="5" width="23.46630859375" customWidth="1"/>
    <col min="6" max="6" width="17.443378448486328" customWidth="1"/>
    <col min="7" max="7" width="33.059879302978516" customWidth="1"/>
    <col min="8" max="8" width="29.138185501098633" customWidth="1"/>
    <col min="9" max="9" width="51.28766632080078" customWidth="1"/>
    <col min="10" max="10" width="23.68052864074707" customWidth="1"/>
    <col min="11" max="11" width="17.443378448486328" customWidth="1"/>
  </cols>
  <sheetData>
    <row r="1">
      <c r="A1" s="1" t="s">
        <v>477</v>
      </c>
      <c r="B1" s="1" t="s">
        <v>478</v>
      </c>
      <c r="C1" s="1" t="s">
        <v>201</v>
      </c>
      <c r="D1" s="1" t="s">
        <v>479</v>
      </c>
      <c r="E1" s="1" t="s">
        <v>480</v>
      </c>
      <c r="F1" s="1" t="s">
        <v>481</v>
      </c>
      <c r="G1" s="1" t="s">
        <v>3</v>
      </c>
      <c r="H1" s="1" t="s">
        <v>23</v>
      </c>
      <c r="I1" s="1" t="s">
        <v>4</v>
      </c>
      <c r="J1" s="1" t="s">
        <v>207</v>
      </c>
      <c r="K1" s="1" t="s">
        <v>482</v>
      </c>
    </row>
    <row r="2">
      <c r="A2" s="2" t="s">
        <v>483</v>
      </c>
      <c r="B2" s="2" t="s">
        <v>484</v>
      </c>
      <c r="C2" s="2" t="s">
        <v>145</v>
      </c>
      <c r="D2" s="2">
        <v>3</v>
      </c>
      <c r="E2" s="6">
        <v>42005</v>
      </c>
      <c r="F2" s="2" t="b">
        <v>0</v>
      </c>
      <c r="G2" s="3" t="str">
        <f>B2</f>
        <v>Smoking pack-years (context only)</v>
      </c>
      <c r="H2" s="3" t="str">
        <f>INDEX(Individuals!L2:L999, MATCH(C2,Individuals!A2:A999, 0))</f>
        <v>/intake/new-patient/reyes-ana</v>
      </c>
      <c r="I2" s="3" t="str">
        <f>H2 &amp; "/exposures/" &amp; A2</f>
        <v>/intake/new-patient/reyes-ana/exposures/exp-context</v>
      </c>
      <c r="J2" s="3" t="str">
        <f>INDEX(Individuals!D2:D999, MATCH(C2,Individuals!A2:A999, 0))</f>
        <v>European</v>
      </c>
      <c r="K2" s="3" t="b">
        <f>IF(D2 &gt; 5, TRUE(), FALSE())</f>
        <v>0</v>
      </c>
    </row>
  </sheetData>
  <autoFilter ref="A1:K1"/>
  <headerFooter/>
  <legacyDrawing r:id="rId1"/>
</worksheet>
</file>

<file path=xl/worksheets/sheet1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13"/>
  <sheetViews>
    <sheetView workbookViewId="0">
      <pane ySplit="1" topLeftCell="A2" state="frozen" activePane="bottomLeft"/>
      <selection pane="bottomLeft" activeCell="A1" sqref="A1"/>
    </sheetView>
  </sheetViews>
  <sheetFormatPr defaultRowHeight="15"/>
  <cols>
    <col min="1" max="1" width="17.443378448486328" customWidth="1"/>
    <col min="2" max="2" width="31.00188636779785" customWidth="1"/>
    <col min="3" max="3" width="17.443378448486328" customWidth="1"/>
    <col min="4" max="4" width="20.492414474487305" customWidth="1"/>
    <col min="5" max="5" width="19.021535873413086" customWidth="1"/>
    <col min="6" max="6" width="20.36572265625" customWidth="1"/>
    <col min="7" max="7" width="29.067825317382812" customWidth="1"/>
    <col min="8" max="8" width="17.970991134643555" customWidth="1"/>
    <col min="9" max="9" width="23.46630859375" customWidth="1"/>
    <col min="10" max="10" width="31.00188636779785" customWidth="1"/>
    <col min="11" max="11" width="35.28116226196289" customWidth="1"/>
    <col min="12" max="12" width="50.91910934448242" customWidth="1"/>
    <col min="13" max="13" width="29.51004981994629" customWidth="1"/>
    <col min="14" max="14" width="21.021249771118164" customWidth="1"/>
    <col min="15" max="15" width="21.565717697143555" customWidth="1"/>
    <col min="16" max="16" width="30.2788028717041" customWidth="1"/>
    <col min="17" max="17" width="33.78551483154297" customWidth="1"/>
  </cols>
  <sheetData>
    <row r="1">
      <c r="A1" s="1" t="s">
        <v>485</v>
      </c>
      <c r="B1" s="1" t="s">
        <v>486</v>
      </c>
      <c r="C1" s="1" t="s">
        <v>201</v>
      </c>
      <c r="D1" s="1" t="s">
        <v>22</v>
      </c>
      <c r="E1" s="1" t="s">
        <v>487</v>
      </c>
      <c r="F1" s="1" t="s">
        <v>488</v>
      </c>
      <c r="G1" s="1" t="s">
        <v>489</v>
      </c>
      <c r="H1" s="1" t="s">
        <v>490</v>
      </c>
      <c r="I1" s="1" t="s">
        <v>491</v>
      </c>
      <c r="J1" s="1" t="s">
        <v>3</v>
      </c>
      <c r="K1" s="1" t="s">
        <v>23</v>
      </c>
      <c r="L1" s="1" t="s">
        <v>4</v>
      </c>
      <c r="M1" s="1" t="s">
        <v>492</v>
      </c>
      <c r="N1" s="1" t="s">
        <v>493</v>
      </c>
      <c r="O1" s="1" t="s">
        <v>494</v>
      </c>
      <c r="P1" s="1" t="s">
        <v>495</v>
      </c>
      <c r="Q1" s="1" t="s">
        <v>496</v>
      </c>
    </row>
    <row r="2">
      <c r="A2" s="2" t="s">
        <v>497</v>
      </c>
      <c r="B2" s="2" t="s">
        <v>498</v>
      </c>
      <c r="C2" s="2" t="s">
        <v>145</v>
      </c>
      <c r="D2" s="2" t="s">
        <v>13</v>
      </c>
      <c r="E2" s="2" t="s">
        <v>298</v>
      </c>
      <c r="F2" s="2" t="s">
        <v>499</v>
      </c>
      <c r="G2" s="2" t="b">
        <v>1</v>
      </c>
      <c r="H2" s="2" t="b">
        <v>0</v>
      </c>
      <c r="I2" s="6">
        <v>45383</v>
      </c>
      <c r="J2" s="3" t="str">
        <f>B2</f>
        <v>Anifrolumab (anti-IFNAR1)</v>
      </c>
      <c r="K2" s="3" t="str">
        <f>INDEX(Individuals!L2:L999, MATCH(C2,Individuals!A2:A999, 0))</f>
        <v>/intake/new-patient/reyes-ana</v>
      </c>
      <c r="L2" s="3" t="str">
        <f>K2 &amp; "/treatments/" &amp; A2</f>
        <v>/intake/new-patient/reyes-ana/treatments/tx-a</v>
      </c>
      <c r="M2" s="3" t="str">
        <f>INDEX(AutoimmuneDiseases!B2:B999, MATCH(D2,AutoimmuneDiseases!A2:A999, 0))</f>
        <v>Systemic Lupus Erythematosus</v>
      </c>
      <c r="N2" s="3" t="b">
        <f>IF(AND(OR(F2 = "Complete", F2 = "Partial"), NOT(H2)), TRUE(), FALSE())</f>
        <v>1</v>
      </c>
      <c r="O2" s="3" t="b">
        <f>IF(E2 = "", FALSE(), INDEX(CausalMechanisms!AC2:AC999, MATCH(E2,CausalMechanisms!A2:A999, 0)))</f>
        <v>1</v>
      </c>
      <c r="P2" s="3" t="b">
        <f>IF(AND(N2, O2), TRUE(), FALSE())</f>
        <v>1</v>
      </c>
      <c r="Q2" s="3" t="str">
        <f>IF(P2, "EffectiveOnConfirmedMechanism", IF(NOT(O2), "NoConfirmedMechanism", IF(H2, "AdverseEffect", IF(OR(F2 = "None", F2 = "Adverse"), "NoResponse", "Undetermined"))))</f>
        <v>EffectiveOnConfirmedMechanism</v>
      </c>
    </row>
    <row r="3">
      <c r="A3" s="2" t="s">
        <v>500</v>
      </c>
      <c r="B3" s="2" t="s">
        <v>498</v>
      </c>
      <c r="C3" s="2" t="s">
        <v>150</v>
      </c>
      <c r="D3" s="2" t="s">
        <v>13</v>
      </c>
      <c r="E3" s="2" t="s">
        <v>311</v>
      </c>
      <c r="F3" s="2" t="s">
        <v>501</v>
      </c>
      <c r="G3" s="2" t="b">
        <v>1</v>
      </c>
      <c r="H3" s="2" t="b">
        <v>0</v>
      </c>
      <c r="I3" s="6">
        <v>45383</v>
      </c>
      <c r="J3" s="3" t="str">
        <f>B3</f>
        <v>Anifrolumab (anti-IFNAR1)</v>
      </c>
      <c r="K3" s="3" t="str">
        <f>INDEX(Individuals!L2:L999, MATCH(C3,Individuals!A2:A999, 0))</f>
        <v>/intake/new-patient/okafor-bili</v>
      </c>
      <c r="L3" s="3" t="str">
        <f>K3 &amp; "/treatments/" &amp; A3</f>
        <v>/intake/new-patient/okafor-bili/treatments/tx-b</v>
      </c>
      <c r="M3" s="3" t="str">
        <f>INDEX(AutoimmuneDiseases!B2:B999, MATCH(D3,AutoimmuneDiseases!A2:A999, 0))</f>
        <v>Systemic Lupus Erythematosus</v>
      </c>
      <c r="N3" s="3" t="b">
        <f>IF(AND(OR(F3 = "Complete", F3 = "Partial"), NOT(H3)), TRUE(), FALSE())</f>
        <v>1</v>
      </c>
      <c r="O3" s="3" t="b">
        <f>IF(E3 = "", FALSE(), INDEX(CausalMechanisms!AC2:AC999, MATCH(E3,CausalMechanisms!A2:A999, 0)))</f>
        <v>1</v>
      </c>
      <c r="P3" s="3" t="b">
        <f>IF(AND(N3, O3), TRUE(), FALSE())</f>
        <v>1</v>
      </c>
      <c r="Q3" s="3" t="str">
        <f>IF(P3, "EffectiveOnConfirmedMechanism", IF(NOT(O3), "NoConfirmedMechanism", IF(H3, "AdverseEffect", IF(OR(F3 = "None", F3 = "Adverse"), "NoResponse", "Undetermined"))))</f>
        <v>EffectiveOnConfirmedMechanism</v>
      </c>
    </row>
    <row r="4">
      <c r="A4" s="2" t="s">
        <v>502</v>
      </c>
      <c r="B4" s="2" t="s">
        <v>503</v>
      </c>
      <c r="C4" s="2" t="s">
        <v>154</v>
      </c>
      <c r="D4" s="2" t="s">
        <v>13</v>
      </c>
      <c r="E4" s="2" t="s">
        <v>318</v>
      </c>
      <c r="F4" s="2" t="s">
        <v>499</v>
      </c>
      <c r="G4" s="2" t="b">
        <v>1</v>
      </c>
      <c r="H4" s="2" t="b">
        <v>0</v>
      </c>
      <c r="I4" s="6">
        <v>45383</v>
      </c>
      <c r="J4" s="3" t="str">
        <f>B4</f>
        <v>STAT4-pathway inhibitor (trial)</v>
      </c>
      <c r="K4" s="3" t="str">
        <f>INDEX(Individuals!L2:L999, MATCH(C4,Individuals!A2:A999, 0))</f>
        <v>/intake/new-patient/wei-chen</v>
      </c>
      <c r="L4" s="3" t="str">
        <f>K4 &amp; "/treatments/" &amp; A4</f>
        <v>/intake/new-patient/wei-chen/treatments/tx-c</v>
      </c>
      <c r="M4" s="3" t="str">
        <f>INDEX(AutoimmuneDiseases!B2:B999, MATCH(D4,AutoimmuneDiseases!A2:A999, 0))</f>
        <v>Systemic Lupus Erythematosus</v>
      </c>
      <c r="N4" s="3" t="b">
        <f>IF(AND(OR(F4 = "Complete", F4 = "Partial"), NOT(H4)), TRUE(), FALSE())</f>
        <v>1</v>
      </c>
      <c r="O4" s="3" t="b">
        <f>IF(E4 = "", FALSE(), INDEX(CausalMechanisms!AC2:AC999, MATCH(E4,CausalMechanisms!A2:A999, 0)))</f>
        <v>0</v>
      </c>
      <c r="P4" s="3" t="b">
        <f>IF(AND(N4, O4), TRUE(), FALSE())</f>
        <v>0</v>
      </c>
      <c r="Q4" s="3" t="str">
        <f>IF(P4, "EffectiveOnConfirmedMechanism", IF(NOT(O4), "NoConfirmedMechanism", IF(H4, "AdverseEffect", IF(OR(F4 = "None", F4 = "Adverse"), "NoResponse", "Undetermined"))))</f>
        <v>NoConfirmedMechanism</v>
      </c>
    </row>
    <row r="5">
      <c r="A5" s="2" t="s">
        <v>504</v>
      </c>
      <c r="B5" s="2" t="s">
        <v>498</v>
      </c>
      <c r="C5" s="2" t="s">
        <v>159</v>
      </c>
      <c r="D5" s="2" t="s">
        <v>13</v>
      </c>
      <c r="E5" s="2" t="s">
        <v>325</v>
      </c>
      <c r="F5" s="2" t="s">
        <v>501</v>
      </c>
      <c r="G5" s="2" t="b">
        <v>1</v>
      </c>
      <c r="H5" s="2" t="b">
        <v>1</v>
      </c>
      <c r="I5" s="6">
        <v>45383</v>
      </c>
      <c r="J5" s="3" t="str">
        <f>B5</f>
        <v>Anifrolumab (anti-IFNAR1)</v>
      </c>
      <c r="K5" s="3" t="str">
        <f>INDEX(Individuals!L2:L999, MATCH(C5,Individuals!A2:A999, 0))</f>
        <v>/intake/new-patient/santos-diego</v>
      </c>
      <c r="L5" s="3" t="str">
        <f>K5 &amp; "/treatments/" &amp; A5</f>
        <v>/intake/new-patient/santos-diego/treatments/tx-d</v>
      </c>
      <c r="M5" s="3" t="str">
        <f>INDEX(AutoimmuneDiseases!B2:B999, MATCH(D5,AutoimmuneDiseases!A2:A999, 0))</f>
        <v>Systemic Lupus Erythematosus</v>
      </c>
      <c r="N5" s="3" t="b">
        <f>IF(AND(OR(F5 = "Complete", F5 = "Partial"), NOT(H5)), TRUE(), FALSE())</f>
        <v>0</v>
      </c>
      <c r="O5" s="3" t="b">
        <f>IF(E5 = "", FALSE(), INDEX(CausalMechanisms!AC2:AC999, MATCH(E5,CausalMechanisms!A2:A999, 0)))</f>
        <v>1</v>
      </c>
      <c r="P5" s="3" t="b">
        <f>IF(AND(N5, O5), TRUE(), FALSE())</f>
        <v>0</v>
      </c>
      <c r="Q5" s="3" t="str">
        <f>IF(P5, "EffectiveOnConfirmedMechanism", IF(NOT(O5), "NoConfirmedMechanism", IF(H5, "AdverseEffect", IF(OR(F5 = "None", F5 = "Adverse"), "NoResponse", "Undetermined"))))</f>
        <v>AdverseEffect</v>
      </c>
    </row>
    <row r="6">
      <c r="A6" s="2" t="s">
        <v>505</v>
      </c>
      <c r="B6" s="2" t="s">
        <v>506</v>
      </c>
      <c r="C6" s="2" t="s">
        <v>163</v>
      </c>
      <c r="D6" s="2" t="s">
        <v>13</v>
      </c>
      <c r="E6" s="2" t="s">
        <v>332</v>
      </c>
      <c r="F6" s="2" t="s">
        <v>507</v>
      </c>
      <c r="G6" s="2" t="b">
        <v>0</v>
      </c>
      <c r="H6" s="2" t="b">
        <v>0</v>
      </c>
      <c r="I6" s="6">
        <v>45383</v>
      </c>
      <c r="J6" s="3" t="str">
        <f>B6</f>
        <v>CTLA4-Ig (abatacept, off-target)</v>
      </c>
      <c r="K6" s="3" t="str">
        <f>INDEX(Individuals!L2:L999, MATCH(C6,Individuals!A2:A999, 0))</f>
        <v>/intake/new-patient/mensah-esi</v>
      </c>
      <c r="L6" s="3" t="str">
        <f>K6 &amp; "/treatments/" &amp; A6</f>
        <v>/intake/new-patient/mensah-esi/treatments/tx-e</v>
      </c>
      <c r="M6" s="3" t="str">
        <f>INDEX(AutoimmuneDiseases!B2:B999, MATCH(D6,AutoimmuneDiseases!A2:A999, 0))</f>
        <v>Systemic Lupus Erythematosus</v>
      </c>
      <c r="N6" s="3" t="b">
        <f>IF(AND(OR(F6 = "Complete", F6 = "Partial"), NOT(H6)), TRUE(), FALSE())</f>
        <v>0</v>
      </c>
      <c r="O6" s="3" t="b">
        <f>IF(E6 = "", FALSE(), INDEX(CausalMechanisms!AC2:AC999, MATCH(E6,CausalMechanisms!A2:A999, 0)))</f>
        <v>0</v>
      </c>
      <c r="P6" s="3" t="b">
        <f>IF(AND(N6, O6), TRUE(), FALSE())</f>
        <v>0</v>
      </c>
      <c r="Q6" s="3" t="str">
        <f>IF(P6, "EffectiveOnConfirmedMechanism", IF(NOT(O6), "NoConfirmedMechanism", IF(H6, "AdverseEffect", IF(OR(F6 = "None", F6 = "Adverse"), "NoResponse", "Undetermined"))))</f>
        <v>NoConfirmedMechanism</v>
      </c>
    </row>
    <row r="7">
      <c r="A7" s="2" t="s">
        <v>508</v>
      </c>
      <c r="B7" s="2" t="s">
        <v>509</v>
      </c>
      <c r="C7" s="2" t="s">
        <v>168</v>
      </c>
      <c r="D7" s="2" t="s">
        <v>17</v>
      </c>
      <c r="E7" s="2" t="s">
        <v>339</v>
      </c>
      <c r="F7" s="2" t="s">
        <v>507</v>
      </c>
      <c r="G7" s="2" t="b">
        <v>0</v>
      </c>
      <c r="H7" s="2" t="b">
        <v>0</v>
      </c>
      <c r="I7" s="6">
        <v>45383</v>
      </c>
      <c r="J7" s="3" t="str">
        <f>B7</f>
        <v>Secukinumab (anti-IL-17)</v>
      </c>
      <c r="K7" s="3" t="str">
        <f>INDEX(Individuals!L2:L999, MATCH(C7,Individuals!A2:A999, 0))</f>
        <v>/intake/new-patient/haidar-faisal</v>
      </c>
      <c r="L7" s="3" t="str">
        <f>K7 &amp; "/treatments/" &amp; A7</f>
        <v>/intake/new-patient/haidar-faisal/treatments/tx-f</v>
      </c>
      <c r="M7" s="3" t="str">
        <f>INDEX(AutoimmuneDiseases!B2:B999, MATCH(D7,AutoimmuneDiseases!A2:A999, 0))</f>
        <v>Psoriatic Arthritis</v>
      </c>
      <c r="N7" s="3" t="b">
        <f>IF(AND(OR(F7 = "Complete", F7 = "Partial"), NOT(H7)), TRUE(), FALSE())</f>
        <v>0</v>
      </c>
      <c r="O7" s="3" t="b">
        <f>IF(E7 = "", FALSE(), INDEX(CausalMechanisms!AC2:AC999, MATCH(E7,CausalMechanisms!A2:A999, 0)))</f>
        <v>1</v>
      </c>
      <c r="P7" s="3" t="b">
        <f>IF(AND(N7, O7), TRUE(), FALSE())</f>
        <v>0</v>
      </c>
      <c r="Q7" s="3" t="str">
        <f>IF(P7, "EffectiveOnConfirmedMechanism", IF(NOT(O7), "NoConfirmedMechanism", IF(H7, "AdverseEffect", IF(OR(F7 = "None", F7 = "Adverse"), "NoResponse", "Undetermined"))))</f>
        <v>NoResponse</v>
      </c>
    </row>
    <row r="8">
      <c r="A8" s="2" t="s">
        <v>510</v>
      </c>
      <c r="B8" s="2" t="s">
        <v>509</v>
      </c>
      <c r="C8" s="2" t="s">
        <v>173</v>
      </c>
      <c r="D8" s="2" t="s">
        <v>17</v>
      </c>
      <c r="E8" s="2" t="s">
        <v>346</v>
      </c>
      <c r="F8" s="2" t="s">
        <v>499</v>
      </c>
      <c r="G8" s="2" t="b">
        <v>1</v>
      </c>
      <c r="H8" s="2" t="b">
        <v>0</v>
      </c>
      <c r="I8" s="6">
        <v>45383</v>
      </c>
      <c r="J8" s="3" t="str">
        <f>B8</f>
        <v>Secukinumab (anti-IL-17)</v>
      </c>
      <c r="K8" s="3" t="str">
        <f>INDEX(Individuals!L2:L999, MATCH(C8,Individuals!A2:A999, 0))</f>
        <v>/intake/new-patient/lin-grace</v>
      </c>
      <c r="L8" s="3" t="str">
        <f>K8 &amp; "/treatments/" &amp; A8</f>
        <v>/intake/new-patient/lin-grace/treatments/tx-g</v>
      </c>
      <c r="M8" s="3" t="str">
        <f>INDEX(AutoimmuneDiseases!B2:B999, MATCH(D8,AutoimmuneDiseases!A2:A999, 0))</f>
        <v>Psoriatic Arthritis</v>
      </c>
      <c r="N8" s="3" t="b">
        <f>IF(AND(OR(F8 = "Complete", F8 = "Partial"), NOT(H8)), TRUE(), FALSE())</f>
        <v>1</v>
      </c>
      <c r="O8" s="3" t="b">
        <f>IF(E8 = "", FALSE(), INDEX(CausalMechanisms!AC2:AC999, MATCH(E8,CausalMechanisms!A2:A999, 0)))</f>
        <v>1</v>
      </c>
      <c r="P8" s="3" t="b">
        <f>IF(AND(N8, O8), TRUE(), FALSE())</f>
        <v>1</v>
      </c>
      <c r="Q8" s="3" t="str">
        <f>IF(P8, "EffectiveOnConfirmedMechanism", IF(NOT(O8), "NoConfirmedMechanism", IF(H8, "AdverseEffect", IF(OR(F8 = "None", F8 = "Adverse"), "NoResponse", "Undetermined"))))</f>
        <v>EffectiveOnConfirmedMechanism</v>
      </c>
    </row>
    <row r="9">
      <c r="A9" s="2" t="s">
        <v>511</v>
      </c>
      <c r="B9" s="2" t="s">
        <v>498</v>
      </c>
      <c r="C9" s="2" t="s">
        <v>177</v>
      </c>
      <c r="D9" s="2" t="s">
        <v>13</v>
      </c>
      <c r="E9" s="2" t="s">
        <v>353</v>
      </c>
      <c r="F9" s="2" t="s">
        <v>499</v>
      </c>
      <c r="G9" s="2" t="b">
        <v>1</v>
      </c>
      <c r="H9" s="2" t="b">
        <v>0</v>
      </c>
      <c r="I9" s="6">
        <v>45383</v>
      </c>
      <c r="J9" s="3" t="str">
        <f>B9</f>
        <v>Anifrolumab (anti-IFNAR1)</v>
      </c>
      <c r="K9" s="3" t="str">
        <f>INDEX(Individuals!L2:L999, MATCH(C9,Individuals!A2:A999, 0))</f>
        <v>/intake/new-patient/yamamoto-hana</v>
      </c>
      <c r="L9" s="3" t="str">
        <f>K9 &amp; "/treatments/" &amp; A9</f>
        <v>/intake/new-patient/yamamoto-hana/treatments/tx-h</v>
      </c>
      <c r="M9" s="3" t="str">
        <f>INDEX(AutoimmuneDiseases!B2:B999, MATCH(D9,AutoimmuneDiseases!A2:A999, 0))</f>
        <v>Systemic Lupus Erythematosus</v>
      </c>
      <c r="N9" s="3" t="b">
        <f>IF(AND(OR(F9 = "Complete", F9 = "Partial"), NOT(H9)), TRUE(), FALSE())</f>
        <v>1</v>
      </c>
      <c r="O9" s="3" t="b">
        <f>IF(E9 = "", FALSE(), INDEX(CausalMechanisms!AC2:AC999, MATCH(E9,CausalMechanisms!A2:A999, 0)))</f>
        <v>1</v>
      </c>
      <c r="P9" s="3" t="b">
        <f>IF(AND(N9, O9), TRUE(), FALSE())</f>
        <v>1</v>
      </c>
      <c r="Q9" s="3" t="str">
        <f>IF(P9, "EffectiveOnConfirmedMechanism", IF(NOT(O9), "NoConfirmedMechanism", IF(H9, "AdverseEffect", IF(OR(F9 = "None", F9 = "Adverse"), "NoResponse", "Undetermined"))))</f>
        <v>EffectiveOnConfirmedMechanism</v>
      </c>
    </row>
    <row r="10">
      <c r="A10" s="2" t="s">
        <v>512</v>
      </c>
      <c r="B10" s="2" t="s">
        <v>498</v>
      </c>
      <c r="C10" s="2" t="s">
        <v>181</v>
      </c>
      <c r="D10" s="2" t="s">
        <v>13</v>
      </c>
      <c r="E10" s="2" t="s">
        <v>357</v>
      </c>
      <c r="F10" s="2" t="s">
        <v>501</v>
      </c>
      <c r="G10" s="2" t="b">
        <v>1</v>
      </c>
      <c r="H10" s="2" t="b">
        <v>1</v>
      </c>
      <c r="I10" s="6">
        <v>45383</v>
      </c>
      <c r="J10" s="3" t="str">
        <f>B10</f>
        <v>Anifrolumab (anti-IFNAR1)</v>
      </c>
      <c r="K10" s="3" t="str">
        <f>INDEX(Individuals!L2:L999, MATCH(C10,Individuals!A2:A999, 0))</f>
        <v>/intake/new-patient/conteh-ibrahim</v>
      </c>
      <c r="L10" s="3" t="str">
        <f>K10 &amp; "/treatments/" &amp; A10</f>
        <v>/intake/new-patient/conteh-ibrahim/treatments/tx-i</v>
      </c>
      <c r="M10" s="3" t="str">
        <f>INDEX(AutoimmuneDiseases!B2:B999, MATCH(D10,AutoimmuneDiseases!A2:A999, 0))</f>
        <v>Systemic Lupus Erythematosus</v>
      </c>
      <c r="N10" s="3" t="b">
        <f>IF(AND(OR(F10 = "Complete", F10 = "Partial"), NOT(H10)), TRUE(), FALSE())</f>
        <v>0</v>
      </c>
      <c r="O10" s="3" t="b">
        <f>IF(E10 = "", FALSE(), INDEX(CausalMechanisms!AC2:AC999, MATCH(E10,CausalMechanisms!A2:A999, 0)))</f>
        <v>1</v>
      </c>
      <c r="P10" s="3" t="b">
        <f>IF(AND(N10, O10), TRUE(), FALSE())</f>
        <v>0</v>
      </c>
      <c r="Q10" s="3" t="str">
        <f>IF(P10, "EffectiveOnConfirmedMechanism", IF(NOT(O10), "NoConfirmedMechanism", IF(H10, "AdverseEffect", IF(OR(F10 = "None", F10 = "Adverse"), "NoResponse", "Undetermined"))))</f>
        <v>AdverseEffect</v>
      </c>
    </row>
    <row r="11">
      <c r="A11" s="2" t="s">
        <v>513</v>
      </c>
      <c r="B11" s="2" t="s">
        <v>498</v>
      </c>
      <c r="C11" s="2" t="s">
        <v>185</v>
      </c>
      <c r="D11" s="2" t="s">
        <v>13</v>
      </c>
      <c r="E11" s="2" t="s">
        <v>361</v>
      </c>
      <c r="F11" s="2" t="s">
        <v>501</v>
      </c>
      <c r="G11" s="2" t="b">
        <v>1</v>
      </c>
      <c r="H11" s="2" t="b">
        <v>0</v>
      </c>
      <c r="I11" s="6">
        <v>45383</v>
      </c>
      <c r="J11" s="3" t="str">
        <f>B11</f>
        <v>Anifrolumab (anti-IFNAR1)</v>
      </c>
      <c r="K11" s="3" t="str">
        <f>INDEX(Individuals!L2:L999, MATCH(C11,Individuals!A2:A999, 0))</f>
        <v>/intake/new-patient/brooks-jamal</v>
      </c>
      <c r="L11" s="3" t="str">
        <f>K11 &amp; "/treatments/" &amp; A11</f>
        <v>/intake/new-patient/brooks-jamal/treatments/tx-j</v>
      </c>
      <c r="M11" s="3" t="str">
        <f>INDEX(AutoimmuneDiseases!B2:B999, MATCH(D11,AutoimmuneDiseases!A2:A999, 0))</f>
        <v>Systemic Lupus Erythematosus</v>
      </c>
      <c r="N11" s="3" t="b">
        <f>IF(AND(OR(F11 = "Complete", F11 = "Partial"), NOT(H11)), TRUE(), FALSE())</f>
        <v>1</v>
      </c>
      <c r="O11" s="3" t="b">
        <f>IF(E11 = "", FALSE(), INDEX(CausalMechanisms!AC2:AC999, MATCH(E11,CausalMechanisms!A2:A999, 0)))</f>
        <v>1</v>
      </c>
      <c r="P11" s="3" t="b">
        <f>IF(AND(N11, O11), TRUE(), FALSE())</f>
        <v>1</v>
      </c>
      <c r="Q11" s="3" t="str">
        <f>IF(P11, "EffectiveOnConfirmedMechanism", IF(NOT(O11), "NoConfirmedMechanism", IF(H11, "AdverseEffect", IF(OR(F11 = "None", F11 = "Adverse"), "NoResponse", "Undetermined"))))</f>
        <v>EffectiveOnConfirmedMechanism</v>
      </c>
    </row>
    <row r="12">
      <c r="A12" s="2" t="s">
        <v>514</v>
      </c>
      <c r="B12" s="2" t="s">
        <v>509</v>
      </c>
      <c r="C12" s="2" t="s">
        <v>190</v>
      </c>
      <c r="D12" s="2" t="s">
        <v>17</v>
      </c>
      <c r="E12" s="2" t="s">
        <v>365</v>
      </c>
      <c r="F12" s="2" t="s">
        <v>507</v>
      </c>
      <c r="G12" s="2" t="b">
        <v>0</v>
      </c>
      <c r="H12" s="2" t="b">
        <v>0</v>
      </c>
      <c r="I12" s="6">
        <v>45383</v>
      </c>
      <c r="J12" s="3" t="str">
        <f>B12</f>
        <v>Secukinumab (anti-IL-17)</v>
      </c>
      <c r="K12" s="3" t="str">
        <f>INDEX(Individuals!L2:L999, MATCH(C12,Individuals!A2:A999, 0))</f>
        <v>/intake/new-patient/nair-kavya</v>
      </c>
      <c r="L12" s="3" t="str">
        <f>K12 &amp; "/treatments/" &amp; A12</f>
        <v>/intake/new-patient/nair-kavya/treatments/tx-k</v>
      </c>
      <c r="M12" s="3" t="str">
        <f>INDEX(AutoimmuneDiseases!B2:B999, MATCH(D12,AutoimmuneDiseases!A2:A999, 0))</f>
        <v>Psoriatic Arthritis</v>
      </c>
      <c r="N12" s="3" t="b">
        <f>IF(AND(OR(F12 = "Complete", F12 = "Partial"), NOT(H12)), TRUE(), FALSE())</f>
        <v>0</v>
      </c>
      <c r="O12" s="3" t="b">
        <f>IF(E12 = "", FALSE(), INDEX(CausalMechanisms!AC2:AC999, MATCH(E12,CausalMechanisms!A2:A999, 0)))</f>
        <v>1</v>
      </c>
      <c r="P12" s="3" t="b">
        <f>IF(AND(N12, O12), TRUE(), FALSE())</f>
        <v>0</v>
      </c>
      <c r="Q12" s="3" t="str">
        <f>IF(P12, "EffectiveOnConfirmedMechanism", IF(NOT(O12), "NoConfirmedMechanism", IF(H12, "AdverseEffect", IF(OR(F12 = "None", F12 = "Adverse"), "NoResponse", "Undetermined"))))</f>
        <v>NoResponse</v>
      </c>
    </row>
    <row r="13">
      <c r="A13" s="2" t="s">
        <v>515</v>
      </c>
      <c r="B13" s="2" t="s">
        <v>509</v>
      </c>
      <c r="C13" s="2" t="s">
        <v>195</v>
      </c>
      <c r="D13" s="2" t="s">
        <v>17</v>
      </c>
      <c r="E13" s="2" t="s">
        <v>369</v>
      </c>
      <c r="F13" s="2" t="s">
        <v>499</v>
      </c>
      <c r="G13" s="2" t="b">
        <v>1</v>
      </c>
      <c r="H13" s="2" t="b">
        <v>0</v>
      </c>
      <c r="I13" s="6">
        <v>45383</v>
      </c>
      <c r="J13" s="3" t="str">
        <f>B13</f>
        <v>Secukinumab (anti-IL-17)</v>
      </c>
      <c r="K13" s="3" t="str">
        <f>INDEX(Individuals!L2:L999, MATCH(C13,Individuals!A2:A999, 0))</f>
        <v>/intake/new-patient/brandt-lena</v>
      </c>
      <c r="L13" s="3" t="str">
        <f>K13 &amp; "/treatments/" &amp; A13</f>
        <v>/intake/new-patient/brandt-lena/treatments/tx-l</v>
      </c>
      <c r="M13" s="3" t="str">
        <f>INDEX(AutoimmuneDiseases!B2:B999, MATCH(D13,AutoimmuneDiseases!A2:A999, 0))</f>
        <v>Psoriatic Arthritis</v>
      </c>
      <c r="N13" s="3" t="b">
        <f>IF(AND(OR(F13 = "Complete", F13 = "Partial"), NOT(H13)), TRUE(), FALSE())</f>
        <v>1</v>
      </c>
      <c r="O13" s="3" t="b">
        <f>IF(E13 = "", FALSE(), INDEX(CausalMechanisms!AC2:AC999, MATCH(E13,CausalMechanisms!A2:A999, 0)))</f>
        <v>1</v>
      </c>
      <c r="P13" s="3" t="b">
        <f>IF(AND(N13, O13), TRUE(), FALSE())</f>
        <v>1</v>
      </c>
      <c r="Q13" s="3" t="str">
        <f>IF(P13, "EffectiveOnConfirmedMechanism", IF(NOT(O13), "NoConfirmedMechanism", IF(H13, "AdverseEffect", IF(OR(F13 = "None", F13 = "Adverse"), "NoResponse", "Undetermined"))))</f>
        <v>EffectiveOnConfirmedMechanism</v>
      </c>
    </row>
  </sheetData>
  <autoFilter ref="A1:Q1"/>
  <headerFooter/>
  <legacyDrawing r:id="rId1"/>
</worksheet>
</file>

<file path=xl/worksheets/sheet1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13"/>
  <sheetViews>
    <sheetView workbookViewId="0">
      <pane ySplit="1" topLeftCell="A2" state="frozen" activePane="bottomLeft"/>
      <selection pane="bottomLeft" activeCell="A1" sqref="A1"/>
    </sheetView>
  </sheetViews>
  <sheetFormatPr defaultRowHeight="15"/>
  <cols>
    <col min="1" max="1" width="19.946008682250977" customWidth="1"/>
    <col min="2" max="2" width="56.15271759033203" customWidth="1"/>
    <col min="3" max="3" width="17.443378448486328" customWidth="1"/>
    <col min="4" max="4" width="20.492414474487305" customWidth="1"/>
    <col min="5" max="5" width="17.443378448486328" customWidth="1"/>
    <col min="6" max="6" width="17.443378448486328" customWidth="1"/>
    <col min="7" max="7" width="17.443378448486328" customWidth="1"/>
    <col min="8" max="8" width="23.46630859375" customWidth="1"/>
    <col min="9" max="9" width="24.04024887084961" customWidth="1"/>
    <col min="10" max="10" width="56.15271759033203" customWidth="1"/>
    <col min="11" max="11" width="35.28116226196289" customWidth="1"/>
    <col min="12" max="12" width="55.96976852416992" customWidth="1"/>
    <col min="13" max="13" width="18.934049606323242" customWidth="1"/>
    <col min="14" max="14" width="17.443378448486328" customWidth="1"/>
    <col min="15" max="15" width="28.012773513793945" customWidth="1"/>
  </cols>
  <sheetData>
    <row r="1">
      <c r="A1" s="1" t="s">
        <v>516</v>
      </c>
      <c r="B1" s="1" t="s">
        <v>517</v>
      </c>
      <c r="C1" s="1" t="s">
        <v>201</v>
      </c>
      <c r="D1" s="1" t="s">
        <v>22</v>
      </c>
      <c r="E1" s="1" t="s">
        <v>518</v>
      </c>
      <c r="F1" s="1" t="s">
        <v>235</v>
      </c>
      <c r="G1" s="1" t="s">
        <v>519</v>
      </c>
      <c r="H1" s="1" t="s">
        <v>520</v>
      </c>
      <c r="I1" s="1" t="s">
        <v>521</v>
      </c>
      <c r="J1" s="1" t="s">
        <v>3</v>
      </c>
      <c r="K1" s="1" t="s">
        <v>23</v>
      </c>
      <c r="L1" s="1" t="s">
        <v>4</v>
      </c>
      <c r="M1" s="1" t="s">
        <v>522</v>
      </c>
      <c r="N1" s="1" t="s">
        <v>523</v>
      </c>
      <c r="O1" s="1" t="s">
        <v>524</v>
      </c>
    </row>
    <row r="2">
      <c r="A2" s="2" t="s">
        <v>525</v>
      </c>
      <c r="B2" s="2" t="s">
        <v>526</v>
      </c>
      <c r="C2" s="2" t="s">
        <v>145</v>
      </c>
      <c r="D2" s="2" t="s">
        <v>13</v>
      </c>
      <c r="E2" s="2" t="s">
        <v>28</v>
      </c>
      <c r="F2" s="2" t="s">
        <v>39</v>
      </c>
      <c r="G2" s="2">
        <v>9</v>
      </c>
      <c r="H2" s="6">
        <v>45352</v>
      </c>
      <c r="I2" s="2" t="b">
        <v>1</v>
      </c>
      <c r="J2" s="3" t="str">
        <f>B2</f>
        <v>Active SLE — high disease-activity (SLEDAI-equiv) severity</v>
      </c>
      <c r="K2" s="3" t="str">
        <f>INDEX(Individuals!L2:L999, MATCH(C2,Individuals!A2:A999, 0))</f>
        <v>/intake/new-patient/reyes-ana</v>
      </c>
      <c r="L2" s="3" t="str">
        <f>K2 &amp; "/phenotypes/" &amp; A2</f>
        <v>/intake/new-patient/reyes-ana/phenotypes/ph-sev-a</v>
      </c>
      <c r="M2" s="3" t="str">
        <f>IF(E2 = "", "", INDEX(DiseaseStages!B2:B999, MATCH(E2,DiseaseStages!A2:A999, 0)))</f>
        <v>Active</v>
      </c>
      <c r="N2" s="3" t="b">
        <f>IF(G2 &gt; 7, TRUE(), FALSE())</f>
        <v>1</v>
      </c>
      <c r="O2" s="3" t="b">
        <f>IF(M2 = "Presymptomatic", TRUE(), FALSE())</f>
        <v>0</v>
      </c>
    </row>
    <row r="3">
      <c r="A3" s="2" t="s">
        <v>527</v>
      </c>
      <c r="B3" s="2" t="s">
        <v>528</v>
      </c>
      <c r="C3" s="2" t="s">
        <v>150</v>
      </c>
      <c r="D3" s="2" t="s">
        <v>13</v>
      </c>
      <c r="E3" s="2" t="s">
        <v>28</v>
      </c>
      <c r="F3" s="2" t="s">
        <v>39</v>
      </c>
      <c r="G3" s="2">
        <v>8</v>
      </c>
      <c r="H3" s="6">
        <v>45352</v>
      </c>
      <c r="I3" s="2" t="b">
        <v>1</v>
      </c>
      <c r="J3" s="3" t="str">
        <f>B3</f>
        <v>Active SLE — serositis + high disease activity</v>
      </c>
      <c r="K3" s="3" t="str">
        <f>INDEX(Individuals!L2:L999, MATCH(C3,Individuals!A2:A999, 0))</f>
        <v>/intake/new-patient/okafor-bili</v>
      </c>
      <c r="L3" s="3" t="str">
        <f>K3 &amp; "/phenotypes/" &amp; A3</f>
        <v>/intake/new-patient/okafor-bili/phenotypes/ph-sev-b</v>
      </c>
      <c r="M3" s="3" t="str">
        <f>IF(E3 = "", "", INDEX(DiseaseStages!B2:B999, MATCH(E3,DiseaseStages!A2:A999, 0)))</f>
        <v>Active</v>
      </c>
      <c r="N3" s="3" t="b">
        <f>IF(G3 &gt; 7, TRUE(), FALSE())</f>
        <v>1</v>
      </c>
      <c r="O3" s="3" t="b">
        <f>IF(M3 = "Presymptomatic", TRUE(), FALSE())</f>
        <v>0</v>
      </c>
    </row>
    <row r="4">
      <c r="A4" s="2" t="s">
        <v>529</v>
      </c>
      <c r="B4" s="2" t="s">
        <v>530</v>
      </c>
      <c r="C4" s="2" t="s">
        <v>154</v>
      </c>
      <c r="D4" s="2" t="s">
        <v>13</v>
      </c>
      <c r="E4" s="2" t="s">
        <v>28</v>
      </c>
      <c r="F4" s="2" t="s">
        <v>39</v>
      </c>
      <c r="G4" s="2">
        <v>9</v>
      </c>
      <c r="H4" s="6">
        <v>45352</v>
      </c>
      <c r="I4" s="2" t="b">
        <v>1</v>
      </c>
      <c r="J4" s="3" t="str">
        <f>B4</f>
        <v>Active SLE — arthritis + anti-dsDNA high activity</v>
      </c>
      <c r="K4" s="3" t="str">
        <f>INDEX(Individuals!L2:L999, MATCH(C4,Individuals!A2:A999, 0))</f>
        <v>/intake/new-patient/wei-chen</v>
      </c>
      <c r="L4" s="3" t="str">
        <f>K4 &amp; "/phenotypes/" &amp; A4</f>
        <v>/intake/new-patient/wei-chen/phenotypes/ph-sev-c</v>
      </c>
      <c r="M4" s="3" t="str">
        <f>IF(E4 = "", "", INDEX(DiseaseStages!B2:B999, MATCH(E4,DiseaseStages!A2:A999, 0)))</f>
        <v>Active</v>
      </c>
      <c r="N4" s="3" t="b">
        <f>IF(G4 &gt; 7, TRUE(), FALSE())</f>
        <v>1</v>
      </c>
      <c r="O4" s="3" t="b">
        <f>IF(M4 = "Presymptomatic", TRUE(), FALSE())</f>
        <v>0</v>
      </c>
    </row>
    <row r="5">
      <c r="A5" s="2" t="s">
        <v>531</v>
      </c>
      <c r="B5" s="2" t="s">
        <v>532</v>
      </c>
      <c r="C5" s="2" t="s">
        <v>159</v>
      </c>
      <c r="D5" s="2" t="s">
        <v>13</v>
      </c>
      <c r="E5" s="2" t="s">
        <v>28</v>
      </c>
      <c r="F5" s="2" t="s">
        <v>47</v>
      </c>
      <c r="G5" s="2">
        <v>8</v>
      </c>
      <c r="H5" s="6">
        <v>45352</v>
      </c>
      <c r="I5" s="2" t="b">
        <v>1</v>
      </c>
      <c r="J5" s="3" t="str">
        <f>B5</f>
        <v>Active SLE — biopsy-confirmed nephritis (high severity)</v>
      </c>
      <c r="K5" s="3" t="str">
        <f>INDEX(Individuals!L2:L999, MATCH(C5,Individuals!A2:A999, 0))</f>
        <v>/intake/new-patient/santos-diego</v>
      </c>
      <c r="L5" s="3" t="str">
        <f>K5 &amp; "/phenotypes/" &amp; A5</f>
        <v>/intake/new-patient/santos-diego/phenotypes/ph-sev-d</v>
      </c>
      <c r="M5" s="3" t="str">
        <f>IF(E5 = "", "", INDEX(DiseaseStages!B2:B999, MATCH(E5,DiseaseStages!A2:A999, 0)))</f>
        <v>Active</v>
      </c>
      <c r="N5" s="3" t="b">
        <f>IF(G5 &gt; 7, TRUE(), FALSE())</f>
        <v>1</v>
      </c>
      <c r="O5" s="3" t="b">
        <f>IF(M5 = "Presymptomatic", TRUE(), FALSE())</f>
        <v>0</v>
      </c>
    </row>
    <row r="6">
      <c r="A6" s="2" t="s">
        <v>533</v>
      </c>
      <c r="B6" s="2" t="s">
        <v>534</v>
      </c>
      <c r="C6" s="2" t="s">
        <v>163</v>
      </c>
      <c r="D6" s="2" t="s">
        <v>13</v>
      </c>
      <c r="E6" s="2" t="s">
        <v>28</v>
      </c>
      <c r="F6" s="2" t="s">
        <v>39</v>
      </c>
      <c r="G6" s="2">
        <v>3</v>
      </c>
      <c r="H6" s="6">
        <v>45352</v>
      </c>
      <c r="I6" s="2" t="b">
        <v>1</v>
      </c>
      <c r="J6" s="3" t="str">
        <f>B6</f>
        <v>SLE — mild cytopenias, low disease activity</v>
      </c>
      <c r="K6" s="3" t="str">
        <f>INDEX(Individuals!L2:L999, MATCH(C6,Individuals!A2:A999, 0))</f>
        <v>/intake/new-patient/mensah-esi</v>
      </c>
      <c r="L6" s="3" t="str">
        <f>K6 &amp; "/phenotypes/" &amp; A6</f>
        <v>/intake/new-patient/mensah-esi/phenotypes/ph-sev-e</v>
      </c>
      <c r="M6" s="3" t="str">
        <f>IF(E6 = "", "", INDEX(DiseaseStages!B2:B999, MATCH(E6,DiseaseStages!A2:A999, 0)))</f>
        <v>Active</v>
      </c>
      <c r="N6" s="3" t="b">
        <f>IF(G6 &gt; 7, TRUE(), FALSE())</f>
        <v>0</v>
      </c>
      <c r="O6" s="3" t="b">
        <f>IF(M6 = "Presymptomatic", TRUE(), FALSE())</f>
        <v>0</v>
      </c>
    </row>
    <row r="7">
      <c r="A7" s="2" t="s">
        <v>535</v>
      </c>
      <c r="B7" s="2" t="s">
        <v>536</v>
      </c>
      <c r="C7" s="2" t="s">
        <v>168</v>
      </c>
      <c r="D7" s="2" t="s">
        <v>17</v>
      </c>
      <c r="E7" s="2" t="s">
        <v>34</v>
      </c>
      <c r="F7" s="2" t="s">
        <v>43</v>
      </c>
      <c r="G7" s="2">
        <v>2</v>
      </c>
      <c r="H7" s="6">
        <v>45352</v>
      </c>
      <c r="I7" s="2" t="b">
        <v>1</v>
      </c>
      <c r="J7" s="3" t="str">
        <f>B7</f>
        <v>PsA — minimal joint involvement, mild</v>
      </c>
      <c r="K7" s="3" t="str">
        <f>INDEX(Individuals!L2:L999, MATCH(C7,Individuals!A2:A999, 0))</f>
        <v>/intake/new-patient/haidar-faisal</v>
      </c>
      <c r="L7" s="3" t="str">
        <f>K7 &amp; "/phenotypes/" &amp; A7</f>
        <v>/intake/new-patient/haidar-faisal/phenotypes/ph-sev-f</v>
      </c>
      <c r="M7" s="3" t="str">
        <f>IF(E7 = "", "", INDEX(DiseaseStages!B2:B999, MATCH(E7,DiseaseStages!A2:A999, 0)))</f>
        <v>Active</v>
      </c>
      <c r="N7" s="3" t="b">
        <f>IF(G7 &gt; 7, TRUE(), FALSE())</f>
        <v>0</v>
      </c>
      <c r="O7" s="3" t="b">
        <f>IF(M7 = "Presymptomatic", TRUE(), FALSE())</f>
        <v>0</v>
      </c>
    </row>
    <row r="8">
      <c r="A8" s="2" t="s">
        <v>537</v>
      </c>
      <c r="B8" s="2" t="s">
        <v>538</v>
      </c>
      <c r="C8" s="2" t="s">
        <v>173</v>
      </c>
      <c r="D8" s="2" t="s">
        <v>17</v>
      </c>
      <c r="E8" s="2" t="s">
        <v>34</v>
      </c>
      <c r="F8" s="2" t="s">
        <v>45</v>
      </c>
      <c r="G8" s="2">
        <v>6</v>
      </c>
      <c r="H8" s="6">
        <v>45352</v>
      </c>
      <c r="I8" s="2" t="b">
        <v>1</v>
      </c>
      <c r="J8" s="3" t="str">
        <f>B8</f>
        <v>PsA — moderate plaque + oligoarthritis</v>
      </c>
      <c r="K8" s="3" t="str">
        <f>INDEX(Individuals!L2:L999, MATCH(C8,Individuals!A2:A999, 0))</f>
        <v>/intake/new-patient/lin-grace</v>
      </c>
      <c r="L8" s="3" t="str">
        <f>K8 &amp; "/phenotypes/" &amp; A8</f>
        <v>/intake/new-patient/lin-grace/phenotypes/ph-sev-g</v>
      </c>
      <c r="M8" s="3" t="str">
        <f>IF(E8 = "", "", INDEX(DiseaseStages!B2:B999, MATCH(E8,DiseaseStages!A2:A999, 0)))</f>
        <v>Active</v>
      </c>
      <c r="N8" s="3" t="b">
        <f>IF(G8 &gt; 7, TRUE(), FALSE())</f>
        <v>0</v>
      </c>
      <c r="O8" s="3" t="b">
        <f>IF(M8 = "Presymptomatic", TRUE(), FALSE())</f>
        <v>0</v>
      </c>
    </row>
    <row r="9">
      <c r="A9" s="2" t="s">
        <v>539</v>
      </c>
      <c r="B9" s="2" t="s">
        <v>526</v>
      </c>
      <c r="C9" s="2" t="s">
        <v>177</v>
      </c>
      <c r="D9" s="2" t="s">
        <v>13</v>
      </c>
      <c r="E9" s="2" t="s">
        <v>28</v>
      </c>
      <c r="F9" s="2" t="s">
        <v>39</v>
      </c>
      <c r="G9" s="2">
        <v>9</v>
      </c>
      <c r="H9" s="6">
        <v>45352</v>
      </c>
      <c r="I9" s="2" t="b">
        <v>1</v>
      </c>
      <c r="J9" s="3" t="str">
        <f>B9</f>
        <v>Active SLE — high disease-activity (SLEDAI-equiv) severity</v>
      </c>
      <c r="K9" s="3" t="str">
        <f>INDEX(Individuals!L2:L999, MATCH(C9,Individuals!A2:A999, 0))</f>
        <v>/intake/new-patient/yamamoto-hana</v>
      </c>
      <c r="L9" s="3" t="str">
        <f>K9 &amp; "/phenotypes/" &amp; A9</f>
        <v>/intake/new-patient/yamamoto-hana/phenotypes/ph-sev-h</v>
      </c>
      <c r="M9" s="3" t="str">
        <f>IF(E9 = "", "", INDEX(DiseaseStages!B2:B999, MATCH(E9,DiseaseStages!A2:A999, 0)))</f>
        <v>Active</v>
      </c>
      <c r="N9" s="3" t="b">
        <f>IF(G9 &gt; 7, TRUE(), FALSE())</f>
        <v>1</v>
      </c>
      <c r="O9" s="3" t="b">
        <f>IF(M9 = "Presymptomatic", TRUE(), FALSE())</f>
        <v>0</v>
      </c>
    </row>
    <row r="10">
      <c r="A10" s="2" t="s">
        <v>540</v>
      </c>
      <c r="B10" s="2" t="s">
        <v>532</v>
      </c>
      <c r="C10" s="2" t="s">
        <v>181</v>
      </c>
      <c r="D10" s="2" t="s">
        <v>13</v>
      </c>
      <c r="E10" s="2" t="s">
        <v>28</v>
      </c>
      <c r="F10" s="2" t="s">
        <v>47</v>
      </c>
      <c r="G10" s="2">
        <v>8</v>
      </c>
      <c r="H10" s="6">
        <v>45352</v>
      </c>
      <c r="I10" s="2" t="b">
        <v>1</v>
      </c>
      <c r="J10" s="3" t="str">
        <f>B10</f>
        <v>Active SLE — biopsy-confirmed nephritis (high severity)</v>
      </c>
      <c r="K10" s="3" t="str">
        <f>INDEX(Individuals!L2:L999, MATCH(C10,Individuals!A2:A999, 0))</f>
        <v>/intake/new-patient/conteh-ibrahim</v>
      </c>
      <c r="L10" s="3" t="str">
        <f>K10 &amp; "/phenotypes/" &amp; A10</f>
        <v>/intake/new-patient/conteh-ibrahim/phenotypes/ph-sev-i</v>
      </c>
      <c r="M10" s="3" t="str">
        <f>IF(E10 = "", "", INDEX(DiseaseStages!B2:B999, MATCH(E10,DiseaseStages!A2:A999, 0)))</f>
        <v>Active</v>
      </c>
      <c r="N10" s="3" t="b">
        <f>IF(G10 &gt; 7, TRUE(), FALSE())</f>
        <v>1</v>
      </c>
      <c r="O10" s="3" t="b">
        <f>IF(M10 = "Presymptomatic", TRUE(), FALSE())</f>
        <v>0</v>
      </c>
    </row>
    <row r="11">
      <c r="A11" s="2" t="s">
        <v>541</v>
      </c>
      <c r="B11" s="2" t="s">
        <v>528</v>
      </c>
      <c r="C11" s="2" t="s">
        <v>185</v>
      </c>
      <c r="D11" s="2" t="s">
        <v>13</v>
      </c>
      <c r="E11" s="2" t="s">
        <v>28</v>
      </c>
      <c r="F11" s="2" t="s">
        <v>39</v>
      </c>
      <c r="G11" s="2">
        <v>8</v>
      </c>
      <c r="H11" s="6">
        <v>45352</v>
      </c>
      <c r="I11" s="2" t="b">
        <v>1</v>
      </c>
      <c r="J11" s="3" t="str">
        <f>B11</f>
        <v>Active SLE — serositis + high disease activity</v>
      </c>
      <c r="K11" s="3" t="str">
        <f>INDEX(Individuals!L2:L999, MATCH(C11,Individuals!A2:A999, 0))</f>
        <v>/intake/new-patient/brooks-jamal</v>
      </c>
      <c r="L11" s="3" t="str">
        <f>K11 &amp; "/phenotypes/" &amp; A11</f>
        <v>/intake/new-patient/brooks-jamal/phenotypes/ph-sev-j</v>
      </c>
      <c r="M11" s="3" t="str">
        <f>IF(E11 = "", "", INDEX(DiseaseStages!B2:B999, MATCH(E11,DiseaseStages!A2:A999, 0)))</f>
        <v>Active</v>
      </c>
      <c r="N11" s="3" t="b">
        <f>IF(G11 &gt; 7, TRUE(), FALSE())</f>
        <v>1</v>
      </c>
      <c r="O11" s="3" t="b">
        <f>IF(M11 = "Presymptomatic", TRUE(), FALSE())</f>
        <v>0</v>
      </c>
    </row>
    <row r="12">
      <c r="A12" s="2" t="s">
        <v>542</v>
      </c>
      <c r="B12" s="2" t="s">
        <v>536</v>
      </c>
      <c r="C12" s="2" t="s">
        <v>190</v>
      </c>
      <c r="D12" s="2" t="s">
        <v>17</v>
      </c>
      <c r="E12" s="2" t="s">
        <v>34</v>
      </c>
      <c r="F12" s="2" t="s">
        <v>43</v>
      </c>
      <c r="G12" s="2">
        <v>2</v>
      </c>
      <c r="H12" s="6">
        <v>45352</v>
      </c>
      <c r="I12" s="2" t="b">
        <v>1</v>
      </c>
      <c r="J12" s="3" t="str">
        <f>B12</f>
        <v>PsA — minimal joint involvement, mild</v>
      </c>
      <c r="K12" s="3" t="str">
        <f>INDEX(Individuals!L2:L999, MATCH(C12,Individuals!A2:A999, 0))</f>
        <v>/intake/new-patient/nair-kavya</v>
      </c>
      <c r="L12" s="3" t="str">
        <f>K12 &amp; "/phenotypes/" &amp; A12</f>
        <v>/intake/new-patient/nair-kavya/phenotypes/ph-sev-k</v>
      </c>
      <c r="M12" s="3" t="str">
        <f>IF(E12 = "", "", INDEX(DiseaseStages!B2:B999, MATCH(E12,DiseaseStages!A2:A999, 0)))</f>
        <v>Active</v>
      </c>
      <c r="N12" s="3" t="b">
        <f>IF(G12 &gt; 7, TRUE(), FALSE())</f>
        <v>0</v>
      </c>
      <c r="O12" s="3" t="b">
        <f>IF(M12 = "Presymptomatic", TRUE(), FALSE())</f>
        <v>0</v>
      </c>
    </row>
    <row r="13">
      <c r="A13" s="2" t="s">
        <v>543</v>
      </c>
      <c r="B13" s="2" t="s">
        <v>538</v>
      </c>
      <c r="C13" s="2" t="s">
        <v>195</v>
      </c>
      <c r="D13" s="2" t="s">
        <v>17</v>
      </c>
      <c r="E13" s="2" t="s">
        <v>34</v>
      </c>
      <c r="F13" s="2" t="s">
        <v>45</v>
      </c>
      <c r="G13" s="2">
        <v>6</v>
      </c>
      <c r="H13" s="6">
        <v>45352</v>
      </c>
      <c r="I13" s="2" t="b">
        <v>1</v>
      </c>
      <c r="J13" s="3" t="str">
        <f>B13</f>
        <v>PsA — moderate plaque + oligoarthritis</v>
      </c>
      <c r="K13" s="3" t="str">
        <f>INDEX(Individuals!L2:L999, MATCH(C13,Individuals!A2:A999, 0))</f>
        <v>/intake/new-patient/brandt-lena</v>
      </c>
      <c r="L13" s="3" t="str">
        <f>K13 &amp; "/phenotypes/" &amp; A13</f>
        <v>/intake/new-patient/brandt-lena/phenotypes/ph-sev-l</v>
      </c>
      <c r="M13" s="3" t="str">
        <f>IF(E13 = "", "", INDEX(DiseaseStages!B2:B999, MATCH(E13,DiseaseStages!A2:A999, 0)))</f>
        <v>Active</v>
      </c>
      <c r="N13" s="3" t="b">
        <f>IF(G13 &gt; 7, TRUE(), FALSE())</f>
        <v>0</v>
      </c>
      <c r="O13" s="3" t="b">
        <f>IF(M13 = "Presymptomatic", TRUE(), FALSE())</f>
        <v>0</v>
      </c>
    </row>
  </sheetData>
  <autoFilter ref="A1:O1"/>
  <headerFooter/>
  <legacyDrawing r:id="rId1"/>
</worksheet>
</file>

<file path=xl/worksheets/sheet1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H13"/>
  <sheetViews>
    <sheetView workbookViewId="0">
      <pane ySplit="1" topLeftCell="A2" state="frozen" activePane="bottomLeft"/>
      <selection pane="bottomLeft" activeCell="A1" sqref="A1"/>
    </sheetView>
  </sheetViews>
  <sheetFormatPr defaultRowHeight="15"/>
  <cols>
    <col min="1" max="1" width="19.978466033935547" customWidth="1"/>
    <col min="2" max="2" width="49.7235221862793" customWidth="1"/>
    <col min="3" max="3" width="17.443378448486328" customWidth="1"/>
    <col min="4" max="4" width="17.443378448486328" customWidth="1"/>
    <col min="5" max="5" width="23.838823318481445" customWidth="1"/>
    <col min="6" max="6" width="17.443378448486328" customWidth="1"/>
    <col min="7" max="7" width="19.545955657958984" customWidth="1"/>
    <col min="8" max="8" width="20.495038986206055" customWidth="1"/>
    <col min="9" max="9" width="17.443378448486328" customWidth="1"/>
    <col min="10" max="10" width="49.7235221862793" customWidth="1"/>
    <col min="11" max="11" width="35.28116226196289" customWidth="1"/>
    <col min="12" max="12" width="53.756568908691406" customWidth="1"/>
    <col min="13" max="13" width="23.68052864074707" customWidth="1"/>
    <col min="14" max="14" width="23.512340545654297" customWidth="1"/>
    <col min="15" max="15" width="26.589797973632812" customWidth="1"/>
    <col min="16" max="16" width="25.69624900817871" customWidth="1"/>
    <col min="17" max="17" width="25.823110580444336" customWidth="1"/>
    <col min="18" max="18" width="18.287508010864258" customWidth="1"/>
    <col min="19" max="19" width="28.69334602355957" customWidth="1"/>
    <col min="20" max="20" width="30.688186645507812" customWidth="1"/>
    <col min="21" max="21" width="19.297550201416016" customWidth="1"/>
    <col min="22" max="22" width="24.304729461669922" customWidth="1"/>
    <col min="23" max="23" width="22.673513412475586" customWidth="1"/>
    <col min="24" max="24" width="25.77200698852539" customWidth="1"/>
    <col min="25" max="25" width="25.32634162902832" customWidth="1"/>
    <col min="26" max="26" width="18.939102172851562" customWidth="1"/>
    <col min="27" max="27" width="17.972402572631836" customWidth="1"/>
    <col min="28" max="28" width="25.083162307739258" customWidth="1"/>
    <col min="29" max="29" width="25.450197219848633" customWidth="1"/>
    <col min="30" max="30" width="24.425806045532227" customWidth="1"/>
    <col min="31" max="31" width="20.33330726623535" customWidth="1"/>
    <col min="32" max="32" width="17.443378448486328" customWidth="1"/>
    <col min="33" max="33" width="19.121692657470703" customWidth="1"/>
    <col min="34" max="34" width="21.53171730041504" customWidth="1"/>
  </cols>
  <sheetData>
    <row r="1">
      <c r="A1" s="1" t="s">
        <v>544</v>
      </c>
      <c r="B1" s="1" t="s">
        <v>545</v>
      </c>
      <c r="C1" s="1" t="s">
        <v>201</v>
      </c>
      <c r="D1" s="1" t="s">
        <v>546</v>
      </c>
      <c r="E1" s="1" t="s">
        <v>547</v>
      </c>
      <c r="F1" s="1" t="s">
        <v>548</v>
      </c>
      <c r="G1" s="1" t="s">
        <v>142</v>
      </c>
      <c r="H1" s="1" t="s">
        <v>141</v>
      </c>
      <c r="I1" s="1" t="s">
        <v>549</v>
      </c>
      <c r="J1" s="1" t="s">
        <v>3</v>
      </c>
      <c r="K1" s="1" t="s">
        <v>23</v>
      </c>
      <c r="L1" s="1" t="s">
        <v>4</v>
      </c>
      <c r="M1" s="1" t="s">
        <v>207</v>
      </c>
      <c r="N1" s="1" t="s">
        <v>550</v>
      </c>
      <c r="O1" s="1" t="s">
        <v>551</v>
      </c>
      <c r="P1" s="1" t="s">
        <v>552</v>
      </c>
      <c r="Q1" s="1" t="s">
        <v>553</v>
      </c>
      <c r="R1" s="1" t="s">
        <v>554</v>
      </c>
      <c r="S1" s="1" t="s">
        <v>555</v>
      </c>
      <c r="T1" s="1" t="s">
        <v>556</v>
      </c>
      <c r="U1" s="1" t="s">
        <v>557</v>
      </c>
      <c r="V1" s="1" t="s">
        <v>558</v>
      </c>
      <c r="W1" s="1" t="s">
        <v>559</v>
      </c>
      <c r="X1" s="1" t="s">
        <v>560</v>
      </c>
      <c r="Y1" s="1" t="s">
        <v>561</v>
      </c>
      <c r="Z1" s="1" t="s">
        <v>562</v>
      </c>
      <c r="AA1" s="1" t="s">
        <v>563</v>
      </c>
      <c r="AB1" s="1" t="s">
        <v>564</v>
      </c>
      <c r="AC1" s="1" t="s">
        <v>565</v>
      </c>
      <c r="AD1" s="1" t="s">
        <v>566</v>
      </c>
      <c r="AE1" s="1" t="s">
        <v>12</v>
      </c>
      <c r="AF1" s="1" t="s">
        <v>241</v>
      </c>
      <c r="AG1" s="1" t="s">
        <v>74</v>
      </c>
      <c r="AH1" s="1" t="s">
        <v>567</v>
      </c>
    </row>
    <row r="2">
      <c r="A2" s="2" t="s">
        <v>298</v>
      </c>
      <c r="B2" s="2" t="s">
        <v>568</v>
      </c>
      <c r="C2" s="2" t="s">
        <v>145</v>
      </c>
      <c r="D2" s="2" t="s">
        <v>211</v>
      </c>
      <c r="E2" s="2" t="s">
        <v>243</v>
      </c>
      <c r="F2" s="2" t="s">
        <v>92</v>
      </c>
      <c r="G2" s="2" t="s">
        <v>569</v>
      </c>
      <c r="H2" s="3">
        <f>IF(G2="type-I-IFN",1,IF(G2="B-cell/autoantibody",2,IF(G2="T-cell-costim",3,IF(G2="IL-17/23",4,0))))</f>
        <v>1</v>
      </c>
      <c r="I2" s="2" t="b">
        <v>0</v>
      </c>
      <c r="J2" s="3" t="str">
        <f>B2</f>
        <v>IRF5 regulatory -&gt; type-I IFN -&gt; SLE risk</v>
      </c>
      <c r="K2" s="3" t="str">
        <f>INDEX(Individuals!L2:L999, MATCH(C2,Individuals!A2:A999, 0))</f>
        <v>/intake/new-patient/reyes-ana</v>
      </c>
      <c r="L2" s="3" t="str">
        <f>K2 &amp; "/mechanisms/" &amp; A2</f>
        <v>/intake/new-patient/reyes-ana/mechanisms/cm-a</v>
      </c>
      <c r="M2" s="3" t="str">
        <f>INDEX(Individuals!D2:D999, MATCH(C2,Individuals!A2:A999, 0))</f>
        <v>European</v>
      </c>
      <c r="N2" s="4">
        <f>COUNTIFS(EvidenceItems!C2:C999, A2,EvidenceItems!T2:T999, TRUE())</f>
        <v>3</v>
      </c>
      <c r="O2" s="4">
        <f>COUNTIFS(EvidenceItems!C2:C999, A2,EvidenceItems!G2:G999, TRUE(),EvidenceItems!T2:T999, TRUE())</f>
        <v>2</v>
      </c>
      <c r="P2" s="4">
        <f>COUNTIFS(InterventionTargets!C2:C999, A2)</f>
        <v>1</v>
      </c>
      <c r="Q2" s="3" t="b">
        <f>IF(AND(P2 &gt;= 1, N2 &gt;= 1), TRUE(), FALSE())</f>
        <v>1</v>
      </c>
      <c r="R2" s="4">
        <f>COUNTIFS(CohortReplications!C2:C999, A2)</f>
        <v>3</v>
      </c>
      <c r="S2" s="4">
        <f>COUNTIFS(CohortReplications!C2:C999, A2,CohortReplications!K2:K999, TRUE())</f>
        <v>2</v>
      </c>
      <c r="T2" s="4">
        <f>COUNTIFS(CohortReplications!C2:C999, A2,CohortReplications!N2:N999, TRUE())</f>
        <v>2</v>
      </c>
      <c r="U2" s="3">
        <f>IF(R2 &gt; 0, S2 / R2, 0)</f>
        <v>0.6666666666666666</v>
      </c>
      <c r="V2" s="3" t="b">
        <f>IF(AND(R2 &gt;= 2, S2 &gt;= 2), TRUE(), FALSE())</f>
        <v>1</v>
      </c>
      <c r="W2" s="4">
        <f>COUNTIFS(NegativeControlTests!C2:C999, A2)</f>
        <v>2</v>
      </c>
      <c r="X2" s="4">
        <f>COUNTIFS(NegativeControlTests!C2:C999, A2,NegativeControlTests!J2:J999, TRUE())</f>
        <v>2</v>
      </c>
      <c r="Y2" s="3" t="b">
        <f>IF(AND(W2 &gt;= 1, X2 = W2), TRUE(), FALSE())</f>
        <v>1</v>
      </c>
      <c r="Z2" s="3" t="b">
        <f>IF(OR(NOT(V2), NOT(Y2), O2 &lt; 2, I2), TRUE(), FALSE())</f>
        <v>0</v>
      </c>
      <c r="AA2" s="3">
        <f>IF(((0.30 * IF(N2 &gt;= 4, 1, N2 / 4)) + (0.20 * IF(O2 &gt;= 3, 1, O2 / 3)) + (0.30 * U2) + (0.20 * IF(Y2, 1, 0))) &gt; 1, 1, (0.30 * IF(N2 &gt;= 4, 1, N2 / 4)) + (0.20 * IF(O2 &gt;= 3, 1, O2 / 3)) + (0.30 * U2) + (0.20 * IF(Y2, 1, 0)))</f>
        <v>0.7583333333333333</v>
      </c>
      <c r="AB2" s="3" t="b">
        <f>IF(D2 = "", FALSE(), INDEX(GenomicVariants!N2:N999, MATCH(D2,GenomicVariants!A2:A999, 0)))</f>
        <v>1</v>
      </c>
      <c r="AC2" s="3" t="b">
        <f>IF(AND(AA2 &gt;= 0.7, Q2, NOT(Z2), OR(AB2, E2 &lt;&gt; "")), TRUE(), FALSE())</f>
        <v>1</v>
      </c>
      <c r="AD2" s="3" t="b">
        <f>IF(AND(AC2, T2 &gt;= 1), TRUE(), FALSE())</f>
        <v>1</v>
      </c>
      <c r="AE2" s="2"/>
      <c r="AF2" s="2"/>
      <c r="AG2" s="2"/>
      <c r="AH2" s="2"/>
    </row>
    <row r="3">
      <c r="A3" s="2" t="s">
        <v>311</v>
      </c>
      <c r="B3" s="2" t="s">
        <v>568</v>
      </c>
      <c r="C3" s="2" t="s">
        <v>150</v>
      </c>
      <c r="D3" s="2" t="s">
        <v>214</v>
      </c>
      <c r="E3" s="2" t="s">
        <v>243</v>
      </c>
      <c r="F3" s="2" t="s">
        <v>92</v>
      </c>
      <c r="G3" s="2" t="s">
        <v>569</v>
      </c>
      <c r="H3" s="3">
        <f>IF(G3="type-I-IFN",1,IF(G3="B-cell/autoantibody",2,IF(G3="T-cell-costim",3,IF(G3="IL-17/23",4,0))))</f>
        <v>1</v>
      </c>
      <c r="I3" s="2" t="b">
        <v>0</v>
      </c>
      <c r="J3" s="3" t="str">
        <f>B3</f>
        <v>IRF5 regulatory -&gt; type-I IFN -&gt; SLE risk</v>
      </c>
      <c r="K3" s="3" t="str">
        <f>INDEX(Individuals!L2:L999, MATCH(C3,Individuals!A2:A999, 0))</f>
        <v>/intake/new-patient/okafor-bili</v>
      </c>
      <c r="L3" s="3" t="str">
        <f>K3 &amp; "/mechanisms/" &amp; A3</f>
        <v>/intake/new-patient/okafor-bili/mechanisms/cm-b</v>
      </c>
      <c r="M3" s="3" t="str">
        <f>INDEX(Individuals!D2:D999, MATCH(C3,Individuals!A2:A999, 0))</f>
        <v>European</v>
      </c>
      <c r="N3" s="4">
        <f>COUNTIFS(EvidenceItems!C2:C999, A3,EvidenceItems!T2:T999, TRUE())</f>
        <v>3</v>
      </c>
      <c r="O3" s="4">
        <f>COUNTIFS(EvidenceItems!C2:C999, A3,EvidenceItems!G2:G999, TRUE(),EvidenceItems!T2:T999, TRUE())</f>
        <v>2</v>
      </c>
      <c r="P3" s="4">
        <f>COUNTIFS(InterventionTargets!C2:C999, A3)</f>
        <v>1</v>
      </c>
      <c r="Q3" s="3" t="b">
        <f>IF(AND(P3 &gt;= 1, N3 &gt;= 1), TRUE(), FALSE())</f>
        <v>1</v>
      </c>
      <c r="R3" s="4">
        <f>COUNTIFS(CohortReplications!C2:C999, A3)</f>
        <v>3</v>
      </c>
      <c r="S3" s="4">
        <f>COUNTIFS(CohortReplications!C2:C999, A3,CohortReplications!K2:K999, TRUE())</f>
        <v>2</v>
      </c>
      <c r="T3" s="4">
        <f>COUNTIFS(CohortReplications!C2:C999, A3,CohortReplications!N2:N999, TRUE())</f>
        <v>2</v>
      </c>
      <c r="U3" s="3">
        <f>IF(R3 &gt; 0, S3 / R3, 0)</f>
        <v>0.6666666666666666</v>
      </c>
      <c r="V3" s="3" t="b">
        <f>IF(AND(R3 &gt;= 2, S3 &gt;= 2), TRUE(), FALSE())</f>
        <v>1</v>
      </c>
      <c r="W3" s="4">
        <f>COUNTIFS(NegativeControlTests!C2:C999, A3)</f>
        <v>2</v>
      </c>
      <c r="X3" s="4">
        <f>COUNTIFS(NegativeControlTests!C2:C999, A3,NegativeControlTests!J2:J999, TRUE())</f>
        <v>2</v>
      </c>
      <c r="Y3" s="3" t="b">
        <f>IF(AND(W3 &gt;= 1, X3 = W3), TRUE(), FALSE())</f>
        <v>1</v>
      </c>
      <c r="Z3" s="3" t="b">
        <f>IF(OR(NOT(V3), NOT(Y3), O3 &lt; 2, I3), TRUE(), FALSE())</f>
        <v>0</v>
      </c>
      <c r="AA3" s="3">
        <f>IF(((0.30 * IF(N3 &gt;= 4, 1, N3 / 4)) + (0.20 * IF(O3 &gt;= 3, 1, O3 / 3)) + (0.30 * U3) + (0.20 * IF(Y3, 1, 0))) &gt; 1, 1, (0.30 * IF(N3 &gt;= 4, 1, N3 / 4)) + (0.20 * IF(O3 &gt;= 3, 1, O3 / 3)) + (0.30 * U3) + (0.20 * IF(Y3, 1, 0)))</f>
        <v>0.7583333333333333</v>
      </c>
      <c r="AB3" s="3" t="b">
        <f>IF(D3 = "", FALSE(), INDEX(GenomicVariants!N2:N999, MATCH(D3,GenomicVariants!A2:A999, 0)))</f>
        <v>1</v>
      </c>
      <c r="AC3" s="3" t="b">
        <f>IF(AND(AA3 &gt;= 0.7, Q3, NOT(Z3), OR(AB3, E3 &lt;&gt; "")), TRUE(), FALSE())</f>
        <v>1</v>
      </c>
      <c r="AD3" s="3" t="b">
        <f>IF(AND(AC3, T3 &gt;= 1), TRUE(), FALSE())</f>
        <v>1</v>
      </c>
      <c r="AE3" s="2"/>
      <c r="AF3" s="2"/>
      <c r="AG3" s="2"/>
      <c r="AH3" s="2"/>
    </row>
    <row r="4">
      <c r="A4" s="2" t="s">
        <v>318</v>
      </c>
      <c r="B4" s="2" t="s">
        <v>570</v>
      </c>
      <c r="C4" s="2" t="s">
        <v>154</v>
      </c>
      <c r="D4" s="2" t="s">
        <v>216</v>
      </c>
      <c r="E4" s="2" t="s">
        <v>243</v>
      </c>
      <c r="F4" s="2" t="s">
        <v>92</v>
      </c>
      <c r="G4" s="2" t="s">
        <v>571</v>
      </c>
      <c r="H4" s="3">
        <f>IF(G4="type-I-IFN",1,IF(G4="B-cell/autoantibody",2,IF(G4="T-cell-costim",3,IF(G4="IL-17/23",4,0))))</f>
        <v>2</v>
      </c>
      <c r="I4" s="2" t="b">
        <v>0</v>
      </c>
      <c r="J4" s="3" t="str">
        <f>B4</f>
        <v>STAT4 regulatory -&gt; Th1/IFN -&gt; SLE risk</v>
      </c>
      <c r="K4" s="3" t="str">
        <f>INDEX(Individuals!L2:L999, MATCH(C4,Individuals!A2:A999, 0))</f>
        <v>/intake/new-patient/wei-chen</v>
      </c>
      <c r="L4" s="3" t="str">
        <f>K4 &amp; "/mechanisms/" &amp; A4</f>
        <v>/intake/new-patient/wei-chen/mechanisms/cm-c</v>
      </c>
      <c r="M4" s="3" t="str">
        <f>INDEX(Individuals!D2:D999, MATCH(C4,Individuals!A2:A999, 0))</f>
        <v>East Asian</v>
      </c>
      <c r="N4" s="4">
        <f>COUNTIFS(EvidenceItems!C2:C999, A4,EvidenceItems!T2:T999, TRUE())</f>
        <v>3</v>
      </c>
      <c r="O4" s="4">
        <f>COUNTIFS(EvidenceItems!C2:C999, A4,EvidenceItems!G2:G999, TRUE(),EvidenceItems!T2:T999, TRUE())</f>
        <v>2</v>
      </c>
      <c r="P4" s="4">
        <f>COUNTIFS(InterventionTargets!C2:C999, A4)</f>
        <v>1</v>
      </c>
      <c r="Q4" s="3" t="b">
        <f>IF(AND(P4 &gt;= 1, N4 &gt;= 1), TRUE(), FALSE())</f>
        <v>1</v>
      </c>
      <c r="R4" s="4">
        <f>COUNTIFS(CohortReplications!C2:C999, A4)</f>
        <v>3</v>
      </c>
      <c r="S4" s="4">
        <f>COUNTIFS(CohortReplications!C2:C999, A4,CohortReplications!K2:K999, TRUE())</f>
        <v>1</v>
      </c>
      <c r="T4" s="4">
        <f>COUNTIFS(CohortReplications!C2:C999, A4,CohortReplications!N2:N999, TRUE())</f>
        <v>0</v>
      </c>
      <c r="U4" s="3">
        <f>IF(R4 &gt; 0, S4 / R4, 0)</f>
        <v>0.3333333333333333</v>
      </c>
      <c r="V4" s="3" t="b">
        <f>IF(AND(R4 &gt;= 2, S4 &gt;= 2), TRUE(), FALSE())</f>
        <v>0</v>
      </c>
      <c r="W4" s="4">
        <f>COUNTIFS(NegativeControlTests!C2:C999, A4)</f>
        <v>2</v>
      </c>
      <c r="X4" s="4">
        <f>COUNTIFS(NegativeControlTests!C2:C999, A4,NegativeControlTests!J2:J999, TRUE())</f>
        <v>1</v>
      </c>
      <c r="Y4" s="3" t="b">
        <f>IF(AND(W4 &gt;= 1, X4 = W4), TRUE(), FALSE())</f>
        <v>0</v>
      </c>
      <c r="Z4" s="3" t="b">
        <f>IF(OR(NOT(V4), NOT(Y4), O4 &lt; 2, I4), TRUE(), FALSE())</f>
        <v>1</v>
      </c>
      <c r="AA4" s="3">
        <f>IF(((0.30 * IF(N4 &gt;= 4, 1, N4 / 4)) + (0.20 * IF(O4 &gt;= 3, 1, O4 / 3)) + (0.30 * U4) + (0.20 * IF(Y4, 1, 0))) &gt; 1, 1, (0.30 * IF(N4 &gt;= 4, 1, N4 / 4)) + (0.20 * IF(O4 &gt;= 3, 1, O4 / 3)) + (0.30 * U4) + (0.20 * IF(Y4, 1, 0)))</f>
        <v>0.45833333333333326</v>
      </c>
      <c r="AB4" s="3" t="b">
        <f>IF(D4 = "", FALSE(), INDEX(GenomicVariants!N2:N999, MATCH(D4,GenomicVariants!A2:A999, 0)))</f>
        <v>1</v>
      </c>
      <c r="AC4" s="3" t="b">
        <f>IF(AND(AA4 &gt;= 0.7, Q4, NOT(Z4), OR(AB4, E4 &lt;&gt; "")), TRUE(), FALSE())</f>
        <v>0</v>
      </c>
      <c r="AD4" s="3" t="b">
        <f>IF(AND(AC4, T4 &gt;= 1), TRUE(), FALSE())</f>
        <v>0</v>
      </c>
      <c r="AE4" s="2"/>
      <c r="AF4" s="2"/>
      <c r="AG4" s="2"/>
      <c r="AH4" s="2"/>
    </row>
    <row r="5">
      <c r="A5" s="2" t="s">
        <v>325</v>
      </c>
      <c r="B5" s="2" t="s">
        <v>568</v>
      </c>
      <c r="C5" s="2" t="s">
        <v>159</v>
      </c>
      <c r="D5" s="2" t="s">
        <v>219</v>
      </c>
      <c r="E5" s="2" t="s">
        <v>243</v>
      </c>
      <c r="F5" s="2" t="s">
        <v>92</v>
      </c>
      <c r="G5" s="2" t="s">
        <v>571</v>
      </c>
      <c r="H5" s="3">
        <f>IF(G5="type-I-IFN",1,IF(G5="B-cell/autoantibody",2,IF(G5="T-cell-costim",3,IF(G5="IL-17/23",4,0))))</f>
        <v>2</v>
      </c>
      <c r="I5" s="2" t="b">
        <v>0</v>
      </c>
      <c r="J5" s="3" t="str">
        <f>B5</f>
        <v>IRF5 regulatory -&gt; type-I IFN -&gt; SLE risk</v>
      </c>
      <c r="K5" s="3" t="str">
        <f>INDEX(Individuals!L2:L999, MATCH(C5,Individuals!A2:A999, 0))</f>
        <v>/intake/new-patient/santos-diego</v>
      </c>
      <c r="L5" s="3" t="str">
        <f>K5 &amp; "/mechanisms/" &amp; A5</f>
        <v>/intake/new-patient/santos-diego/mechanisms/cm-d</v>
      </c>
      <c r="M5" s="3" t="str">
        <f>INDEX(Individuals!D2:D999, MATCH(C5,Individuals!A2:A999, 0))</f>
        <v>European</v>
      </c>
      <c r="N5" s="4">
        <f>COUNTIFS(EvidenceItems!C2:C999, A5,EvidenceItems!T2:T999, TRUE())</f>
        <v>3</v>
      </c>
      <c r="O5" s="4">
        <f>COUNTIFS(EvidenceItems!C2:C999, A5,EvidenceItems!G2:G999, TRUE(),EvidenceItems!T2:T999, TRUE())</f>
        <v>2</v>
      </c>
      <c r="P5" s="4">
        <f>COUNTIFS(InterventionTargets!C2:C999, A5)</f>
        <v>1</v>
      </c>
      <c r="Q5" s="3" t="b">
        <f>IF(AND(P5 &gt;= 1, N5 &gt;= 1), TRUE(), FALSE())</f>
        <v>1</v>
      </c>
      <c r="R5" s="4">
        <f>COUNTIFS(CohortReplications!C2:C999, A5)</f>
        <v>3</v>
      </c>
      <c r="S5" s="4">
        <f>COUNTIFS(CohortReplications!C2:C999, A5,CohortReplications!K2:K999, TRUE())</f>
        <v>2</v>
      </c>
      <c r="T5" s="4">
        <f>COUNTIFS(CohortReplications!C2:C999, A5,CohortReplications!N2:N999, TRUE())</f>
        <v>2</v>
      </c>
      <c r="U5" s="3">
        <f>IF(R5 &gt; 0, S5 / R5, 0)</f>
        <v>0.6666666666666666</v>
      </c>
      <c r="V5" s="3" t="b">
        <f>IF(AND(R5 &gt;= 2, S5 &gt;= 2), TRUE(), FALSE())</f>
        <v>1</v>
      </c>
      <c r="W5" s="4">
        <f>COUNTIFS(NegativeControlTests!C2:C999, A5)</f>
        <v>2</v>
      </c>
      <c r="X5" s="4">
        <f>COUNTIFS(NegativeControlTests!C2:C999, A5,NegativeControlTests!J2:J999, TRUE())</f>
        <v>2</v>
      </c>
      <c r="Y5" s="3" t="b">
        <f>IF(AND(W5 &gt;= 1, X5 = W5), TRUE(), FALSE())</f>
        <v>1</v>
      </c>
      <c r="Z5" s="3" t="b">
        <f>IF(OR(NOT(V5), NOT(Y5), O5 &lt; 2, I5), TRUE(), FALSE())</f>
        <v>0</v>
      </c>
      <c r="AA5" s="3">
        <f>IF(((0.30 * IF(N5 &gt;= 4, 1, N5 / 4)) + (0.20 * IF(O5 &gt;= 3, 1, O5 / 3)) + (0.30 * U5) + (0.20 * IF(Y5, 1, 0))) &gt; 1, 1, (0.30 * IF(N5 &gt;= 4, 1, N5 / 4)) + (0.20 * IF(O5 &gt;= 3, 1, O5 / 3)) + (0.30 * U5) + (0.20 * IF(Y5, 1, 0)))</f>
        <v>0.7583333333333333</v>
      </c>
      <c r="AB5" s="3" t="b">
        <f>IF(D5 = "", FALSE(), INDEX(GenomicVariants!N2:N999, MATCH(D5,GenomicVariants!A2:A999, 0)))</f>
        <v>1</v>
      </c>
      <c r="AC5" s="3" t="b">
        <f>IF(AND(AA5 &gt;= 0.7, Q5, NOT(Z5), OR(AB5, E5 &lt;&gt; "")), TRUE(), FALSE())</f>
        <v>1</v>
      </c>
      <c r="AD5" s="3" t="b">
        <f>IF(AND(AC5, T5 &gt;= 1), TRUE(), FALSE())</f>
        <v>1</v>
      </c>
      <c r="AE5" s="2"/>
      <c r="AF5" s="2"/>
      <c r="AG5" s="2"/>
      <c r="AH5" s="2"/>
    </row>
    <row r="6">
      <c r="A6" s="2" t="s">
        <v>332</v>
      </c>
      <c r="B6" s="2" t="s">
        <v>572</v>
      </c>
      <c r="C6" s="2" t="s">
        <v>163</v>
      </c>
      <c r="D6" s="2" t="s">
        <v>220</v>
      </c>
      <c r="E6" s="2" t="s">
        <v>243</v>
      </c>
      <c r="F6" s="2" t="s">
        <v>92</v>
      </c>
      <c r="G6" s="2" t="s">
        <v>573</v>
      </c>
      <c r="H6" s="3">
        <f>IF(G6="type-I-IFN",1,IF(G6="B-cell/autoantibody",2,IF(G6="T-cell-costim",3,IF(G6="IL-17/23",4,0))))</f>
        <v>3</v>
      </c>
      <c r="I6" s="2" t="b">
        <v>0</v>
      </c>
      <c r="J6" s="3" t="str">
        <f>B6</f>
        <v>CTLA4 enhancer -&gt; T-cell costimulation -&gt; SLE risk</v>
      </c>
      <c r="K6" s="3" t="str">
        <f>INDEX(Individuals!L2:L999, MATCH(C6,Individuals!A2:A999, 0))</f>
        <v>/intake/new-patient/mensah-esi</v>
      </c>
      <c r="L6" s="3" t="str">
        <f>K6 &amp; "/mechanisms/" &amp; A6</f>
        <v>/intake/new-patient/mensah-esi/mechanisms/cm-e</v>
      </c>
      <c r="M6" s="3" t="str">
        <f>INDEX(Individuals!D2:D999, MATCH(C6,Individuals!A2:A999, 0))</f>
        <v>African</v>
      </c>
      <c r="N6" s="4">
        <f>COUNTIFS(EvidenceItems!C2:C999, A6,EvidenceItems!T2:T999, TRUE())</f>
        <v>3</v>
      </c>
      <c r="O6" s="4">
        <f>COUNTIFS(EvidenceItems!C2:C999, A6,EvidenceItems!G2:G999, TRUE(),EvidenceItems!T2:T999, TRUE())</f>
        <v>2</v>
      </c>
      <c r="P6" s="4">
        <f>COUNTIFS(InterventionTargets!C2:C999, A6)</f>
        <v>0</v>
      </c>
      <c r="Q6" s="3" t="b">
        <f>IF(AND(P6 &gt;= 1, N6 &gt;= 1), TRUE(), FALSE())</f>
        <v>0</v>
      </c>
      <c r="R6" s="4">
        <f>COUNTIFS(CohortReplications!C2:C999, A6)</f>
        <v>3</v>
      </c>
      <c r="S6" s="4">
        <f>COUNTIFS(CohortReplications!C2:C999, A6,CohortReplications!K2:K999, TRUE())</f>
        <v>2</v>
      </c>
      <c r="T6" s="4">
        <f>COUNTIFS(CohortReplications!C2:C999, A6,CohortReplications!N2:N999, TRUE())</f>
        <v>2</v>
      </c>
      <c r="U6" s="3">
        <f>IF(R6 &gt; 0, S6 / R6, 0)</f>
        <v>0.6666666666666666</v>
      </c>
      <c r="V6" s="3" t="b">
        <f>IF(AND(R6 &gt;= 2, S6 &gt;= 2), TRUE(), FALSE())</f>
        <v>1</v>
      </c>
      <c r="W6" s="4">
        <f>COUNTIFS(NegativeControlTests!C2:C999, A6)</f>
        <v>2</v>
      </c>
      <c r="X6" s="4">
        <f>COUNTIFS(NegativeControlTests!C2:C999, A6,NegativeControlTests!J2:J999, TRUE())</f>
        <v>2</v>
      </c>
      <c r="Y6" s="3" t="b">
        <f>IF(AND(W6 &gt;= 1, X6 = W6), TRUE(), FALSE())</f>
        <v>1</v>
      </c>
      <c r="Z6" s="3" t="b">
        <f>IF(OR(NOT(V6), NOT(Y6), O6 &lt; 2, I6), TRUE(), FALSE())</f>
        <v>0</v>
      </c>
      <c r="AA6" s="3">
        <f>IF(((0.30 * IF(N6 &gt;= 4, 1, N6 / 4)) + (0.20 * IF(O6 &gt;= 3, 1, O6 / 3)) + (0.30 * U6) + (0.20 * IF(Y6, 1, 0))) &gt; 1, 1, (0.30 * IF(N6 &gt;= 4, 1, N6 / 4)) + (0.20 * IF(O6 &gt;= 3, 1, O6 / 3)) + (0.30 * U6) + (0.20 * IF(Y6, 1, 0)))</f>
        <v>0.7583333333333333</v>
      </c>
      <c r="AB6" s="3" t="b">
        <f>IF(D6 = "", FALSE(), INDEX(GenomicVariants!N2:N999, MATCH(D6,GenomicVariants!A2:A999, 0)))</f>
        <v>1</v>
      </c>
      <c r="AC6" s="3" t="b">
        <f>IF(AND(AA6 &gt;= 0.7, Q6, NOT(Z6), OR(AB6, E6 &lt;&gt; "")), TRUE(), FALSE())</f>
        <v>0</v>
      </c>
      <c r="AD6" s="3" t="b">
        <f>IF(AND(AC6, T6 &gt;= 1), TRUE(), FALSE())</f>
        <v>0</v>
      </c>
      <c r="AE6" s="2"/>
      <c r="AF6" s="2"/>
      <c r="AG6" s="2"/>
      <c r="AH6" s="2"/>
    </row>
    <row r="7">
      <c r="A7" s="2" t="s">
        <v>339</v>
      </c>
      <c r="B7" s="2" t="s">
        <v>574</v>
      </c>
      <c r="C7" s="2" t="s">
        <v>168</v>
      </c>
      <c r="D7" s="2" t="s">
        <v>223</v>
      </c>
      <c r="E7" s="2" t="s">
        <v>243</v>
      </c>
      <c r="F7" s="2" t="s">
        <v>92</v>
      </c>
      <c r="G7" s="2" t="s">
        <v>575</v>
      </c>
      <c r="H7" s="3">
        <f>IF(G7="type-I-IFN",1,IF(G7="B-cell/autoantibody",2,IF(G7="T-cell-costim",3,IF(G7="IL-17/23",4,0))))</f>
        <v>4</v>
      </c>
      <c r="I7" s="2" t="b">
        <v>0</v>
      </c>
      <c r="J7" s="3" t="str">
        <f>B7</f>
        <v>IL23R regulatory -&gt; IL-17 axis -&gt; PsA risk</v>
      </c>
      <c r="K7" s="3" t="str">
        <f>INDEX(Individuals!L2:L999, MATCH(C7,Individuals!A2:A999, 0))</f>
        <v>/intake/new-patient/haidar-faisal</v>
      </c>
      <c r="L7" s="3" t="str">
        <f>K7 &amp; "/mechanisms/" &amp; A7</f>
        <v>/intake/new-patient/haidar-faisal/mechanisms/cm-f</v>
      </c>
      <c r="M7" s="3" t="str">
        <f>INDEX(Individuals!D2:D999, MATCH(C7,Individuals!A2:A999, 0))</f>
        <v>Indigenous American</v>
      </c>
      <c r="N7" s="4">
        <f>COUNTIFS(EvidenceItems!C2:C999, A7,EvidenceItems!T2:T999, TRUE())</f>
        <v>3</v>
      </c>
      <c r="O7" s="4">
        <f>COUNTIFS(EvidenceItems!C2:C999, A7,EvidenceItems!G2:G999, TRUE(),EvidenceItems!T2:T999, TRUE())</f>
        <v>2</v>
      </c>
      <c r="P7" s="4">
        <f>COUNTIFS(InterventionTargets!C2:C999, A7)</f>
        <v>1</v>
      </c>
      <c r="Q7" s="3" t="b">
        <f>IF(AND(P7 &gt;= 1, N7 &gt;= 1), TRUE(), FALSE())</f>
        <v>1</v>
      </c>
      <c r="R7" s="4">
        <f>COUNTIFS(CohortReplications!C2:C999, A7)</f>
        <v>3</v>
      </c>
      <c r="S7" s="4">
        <f>COUNTIFS(CohortReplications!C2:C999, A7,CohortReplications!K2:K999, TRUE())</f>
        <v>3</v>
      </c>
      <c r="T7" s="4">
        <f>COUNTIFS(CohortReplications!C2:C999, A7,CohortReplications!N2:N999, TRUE())</f>
        <v>0</v>
      </c>
      <c r="U7" s="3">
        <f>IF(R7 &gt; 0, S7 / R7, 0)</f>
        <v>1</v>
      </c>
      <c r="V7" s="3" t="b">
        <f>IF(AND(R7 &gt;= 2, S7 &gt;= 2), TRUE(), FALSE())</f>
        <v>1</v>
      </c>
      <c r="W7" s="4">
        <f>COUNTIFS(NegativeControlTests!C2:C999, A7)</f>
        <v>2</v>
      </c>
      <c r="X7" s="4">
        <f>COUNTIFS(NegativeControlTests!C2:C999, A7,NegativeControlTests!J2:J999, TRUE())</f>
        <v>2</v>
      </c>
      <c r="Y7" s="3" t="b">
        <f>IF(AND(W7 &gt;= 1, X7 = W7), TRUE(), FALSE())</f>
        <v>1</v>
      </c>
      <c r="Z7" s="3" t="b">
        <f>IF(OR(NOT(V7), NOT(Y7), O7 &lt; 2, I7), TRUE(), FALSE())</f>
        <v>0</v>
      </c>
      <c r="AA7" s="3">
        <f>IF(((0.30 * IF(N7 &gt;= 4, 1, N7 / 4)) + (0.20 * IF(O7 &gt;= 3, 1, O7 / 3)) + (0.30 * U7) + (0.20 * IF(Y7, 1, 0))) &gt; 1, 1, (0.30 * IF(N7 &gt;= 4, 1, N7 / 4)) + (0.20 * IF(O7 &gt;= 3, 1, O7 / 3)) + (0.30 * U7) + (0.20 * IF(Y7, 1, 0)))</f>
        <v>0.8583333333333332</v>
      </c>
      <c r="AB7" s="3" t="b">
        <f>IF(D7 = "", FALSE(), INDEX(GenomicVariants!N2:N999, MATCH(D7,GenomicVariants!A2:A999, 0)))</f>
        <v>1</v>
      </c>
      <c r="AC7" s="3" t="b">
        <f>IF(AND(AA7 &gt;= 0.7, Q7, NOT(Z7), OR(AB7, E7 &lt;&gt; "")), TRUE(), FALSE())</f>
        <v>1</v>
      </c>
      <c r="AD7" s="3" t="b">
        <f>IF(AND(AC7, T7 &gt;= 1), TRUE(), FALSE())</f>
        <v>0</v>
      </c>
      <c r="AE7" s="2"/>
      <c r="AF7" s="2"/>
      <c r="AG7" s="2"/>
      <c r="AH7" s="2"/>
    </row>
    <row r="8">
      <c r="A8" s="2" t="s">
        <v>346</v>
      </c>
      <c r="B8" s="2" t="s">
        <v>574</v>
      </c>
      <c r="C8" s="2" t="s">
        <v>173</v>
      </c>
      <c r="D8" s="2" t="s">
        <v>226</v>
      </c>
      <c r="E8" s="2" t="s">
        <v>243</v>
      </c>
      <c r="F8" s="2" t="s">
        <v>92</v>
      </c>
      <c r="G8" s="2" t="s">
        <v>575</v>
      </c>
      <c r="H8" s="3">
        <f>IF(G8="type-I-IFN",1,IF(G8="B-cell/autoantibody",2,IF(G8="T-cell-costim",3,IF(G8="IL-17/23",4,0))))</f>
        <v>4</v>
      </c>
      <c r="I8" s="2" t="b">
        <v>0</v>
      </c>
      <c r="J8" s="3" t="str">
        <f>B8</f>
        <v>IL23R regulatory -&gt; IL-17 axis -&gt; PsA risk</v>
      </c>
      <c r="K8" s="3" t="str">
        <f>INDEX(Individuals!L2:L999, MATCH(C8,Individuals!A2:A999, 0))</f>
        <v>/intake/new-patient/lin-grace</v>
      </c>
      <c r="L8" s="3" t="str">
        <f>K8 &amp; "/mechanisms/" &amp; A8</f>
        <v>/intake/new-patient/lin-grace/mechanisms/cm-g</v>
      </c>
      <c r="M8" s="3" t="str">
        <f>INDEX(Individuals!D2:D999, MATCH(C8,Individuals!A2:A999, 0))</f>
        <v>Indigenous American</v>
      </c>
      <c r="N8" s="4">
        <f>COUNTIFS(EvidenceItems!C2:C999, A8,EvidenceItems!T2:T999, TRUE())</f>
        <v>3</v>
      </c>
      <c r="O8" s="4">
        <f>COUNTIFS(EvidenceItems!C2:C999, A8,EvidenceItems!G2:G999, TRUE(),EvidenceItems!T2:T999, TRUE())</f>
        <v>2</v>
      </c>
      <c r="P8" s="4">
        <f>COUNTIFS(InterventionTargets!C2:C999, A8)</f>
        <v>1</v>
      </c>
      <c r="Q8" s="3" t="b">
        <f>IF(AND(P8 &gt;= 1, N8 &gt;= 1), TRUE(), FALSE())</f>
        <v>1</v>
      </c>
      <c r="R8" s="4">
        <f>COUNTIFS(CohortReplications!C2:C999, A8)</f>
        <v>3</v>
      </c>
      <c r="S8" s="4">
        <f>COUNTIFS(CohortReplications!C2:C999, A8,CohortReplications!K2:K999, TRUE())</f>
        <v>3</v>
      </c>
      <c r="T8" s="4">
        <f>COUNTIFS(CohortReplications!C2:C999, A8,CohortReplications!N2:N999, TRUE())</f>
        <v>2</v>
      </c>
      <c r="U8" s="3">
        <f>IF(R8 &gt; 0, S8 / R8, 0)</f>
        <v>1</v>
      </c>
      <c r="V8" s="3" t="b">
        <f>IF(AND(R8 &gt;= 2, S8 &gt;= 2), TRUE(), FALSE())</f>
        <v>1</v>
      </c>
      <c r="W8" s="4">
        <f>COUNTIFS(NegativeControlTests!C2:C999, A8)</f>
        <v>2</v>
      </c>
      <c r="X8" s="4">
        <f>COUNTIFS(NegativeControlTests!C2:C999, A8,NegativeControlTests!J2:J999, TRUE())</f>
        <v>2</v>
      </c>
      <c r="Y8" s="3" t="b">
        <f>IF(AND(W8 &gt;= 1, X8 = W8), TRUE(), FALSE())</f>
        <v>1</v>
      </c>
      <c r="Z8" s="3" t="b">
        <f>IF(OR(NOT(V8), NOT(Y8), O8 &lt; 2, I8), TRUE(), FALSE())</f>
        <v>0</v>
      </c>
      <c r="AA8" s="3">
        <f>IF(((0.30 * IF(N8 &gt;= 4, 1, N8 / 4)) + (0.20 * IF(O8 &gt;= 3, 1, O8 / 3)) + (0.30 * U8) + (0.20 * IF(Y8, 1, 0))) &gt; 1, 1, (0.30 * IF(N8 &gt;= 4, 1, N8 / 4)) + (0.20 * IF(O8 &gt;= 3, 1, O8 / 3)) + (0.30 * U8) + (0.20 * IF(Y8, 1, 0)))</f>
        <v>0.8583333333333332</v>
      </c>
      <c r="AB8" s="3" t="b">
        <f>IF(D8 = "", FALSE(), INDEX(GenomicVariants!N2:N999, MATCH(D8,GenomicVariants!A2:A999, 0)))</f>
        <v>1</v>
      </c>
      <c r="AC8" s="3" t="b">
        <f>IF(AND(AA8 &gt;= 0.7, Q8, NOT(Z8), OR(AB8, E8 &lt;&gt; "")), TRUE(), FALSE())</f>
        <v>1</v>
      </c>
      <c r="AD8" s="3" t="b">
        <f>IF(AND(AC8, T8 &gt;= 1), TRUE(), FALSE())</f>
        <v>1</v>
      </c>
      <c r="AE8" s="2"/>
      <c r="AF8" s="2"/>
      <c r="AG8" s="2"/>
      <c r="AH8" s="2"/>
    </row>
    <row r="9">
      <c r="A9" s="2" t="s">
        <v>353</v>
      </c>
      <c r="B9" s="2" t="s">
        <v>568</v>
      </c>
      <c r="C9" s="2" t="s">
        <v>177</v>
      </c>
      <c r="D9" s="2" t="s">
        <v>227</v>
      </c>
      <c r="E9" s="2" t="s">
        <v>243</v>
      </c>
      <c r="F9" s="2" t="s">
        <v>92</v>
      </c>
      <c r="G9" s="2" t="s">
        <v>569</v>
      </c>
      <c r="H9" s="3">
        <f>IF(G9="type-I-IFN",1,IF(G9="B-cell/autoantibody",2,IF(G9="T-cell-costim",3,IF(G9="IL-17/23",4,0))))</f>
        <v>1</v>
      </c>
      <c r="I9" s="2" t="b">
        <v>0</v>
      </c>
      <c r="J9" s="3" t="str">
        <f>B9</f>
        <v>IRF5 regulatory -&gt; type-I IFN -&gt; SLE risk</v>
      </c>
      <c r="K9" s="3" t="str">
        <f>INDEX(Individuals!L2:L999, MATCH(C9,Individuals!A2:A999, 0))</f>
        <v>/intake/new-patient/yamamoto-hana</v>
      </c>
      <c r="L9" s="3" t="str">
        <f>K9 &amp; "/mechanisms/" &amp; A9</f>
        <v>/intake/new-patient/yamamoto-hana/mechanisms/cm-h</v>
      </c>
      <c r="M9" s="3" t="str">
        <f>INDEX(Individuals!D2:D999, MATCH(C9,Individuals!A2:A999, 0))</f>
        <v>East Asian</v>
      </c>
      <c r="N9" s="4">
        <f>COUNTIFS(EvidenceItems!C2:C999, A9,EvidenceItems!T2:T999, TRUE())</f>
        <v>3</v>
      </c>
      <c r="O9" s="4">
        <f>COUNTIFS(EvidenceItems!C2:C999, A9,EvidenceItems!G2:G999, TRUE(),EvidenceItems!T2:T999, TRUE())</f>
        <v>2</v>
      </c>
      <c r="P9" s="4">
        <f>COUNTIFS(InterventionTargets!C2:C999, A9)</f>
        <v>1</v>
      </c>
      <c r="Q9" s="3" t="b">
        <f>IF(AND(P9 &gt;= 1, N9 &gt;= 1), TRUE(), FALSE())</f>
        <v>1</v>
      </c>
      <c r="R9" s="4">
        <f>COUNTIFS(CohortReplications!C2:C999, A9)</f>
        <v>3</v>
      </c>
      <c r="S9" s="4">
        <f>COUNTIFS(CohortReplications!C2:C999, A9,CohortReplications!K2:K999, TRUE())</f>
        <v>2</v>
      </c>
      <c r="T9" s="4">
        <f>COUNTIFS(CohortReplications!C2:C999, A9,CohortReplications!N2:N999, TRUE())</f>
        <v>1</v>
      </c>
      <c r="U9" s="3">
        <f>IF(R9 &gt; 0, S9 / R9, 0)</f>
        <v>0.6666666666666666</v>
      </c>
      <c r="V9" s="3" t="b">
        <f>IF(AND(R9 &gt;= 2, S9 &gt;= 2), TRUE(), FALSE())</f>
        <v>1</v>
      </c>
      <c r="W9" s="4">
        <f>COUNTIFS(NegativeControlTests!C2:C999, A9)</f>
        <v>2</v>
      </c>
      <c r="X9" s="4">
        <f>COUNTIFS(NegativeControlTests!C2:C999, A9,NegativeControlTests!J2:J999, TRUE())</f>
        <v>2</v>
      </c>
      <c r="Y9" s="3" t="b">
        <f>IF(AND(W9 &gt;= 1, X9 = W9), TRUE(), FALSE())</f>
        <v>1</v>
      </c>
      <c r="Z9" s="3" t="b">
        <f>IF(OR(NOT(V9), NOT(Y9), O9 &lt; 2, I9), TRUE(), FALSE())</f>
        <v>0</v>
      </c>
      <c r="AA9" s="3">
        <f>IF(((0.30 * IF(N9 &gt;= 4, 1, N9 / 4)) + (0.20 * IF(O9 &gt;= 3, 1, O9 / 3)) + (0.30 * U9) + (0.20 * IF(Y9, 1, 0))) &gt; 1, 1, (0.30 * IF(N9 &gt;= 4, 1, N9 / 4)) + (0.20 * IF(O9 &gt;= 3, 1, O9 / 3)) + (0.30 * U9) + (0.20 * IF(Y9, 1, 0)))</f>
        <v>0.7583333333333333</v>
      </c>
      <c r="AB9" s="3" t="b">
        <f>IF(D9 = "", FALSE(), INDEX(GenomicVariants!N2:N999, MATCH(D9,GenomicVariants!A2:A999, 0)))</f>
        <v>1</v>
      </c>
      <c r="AC9" s="3" t="b">
        <f>IF(AND(AA9 &gt;= 0.7, Q9, NOT(Z9), OR(AB9, E9 &lt;&gt; "")), TRUE(), FALSE())</f>
        <v>1</v>
      </c>
      <c r="AD9" s="3" t="b">
        <f>IF(AND(AC9, T9 &gt;= 1), TRUE(), FALSE())</f>
        <v>1</v>
      </c>
      <c r="AE9" s="2"/>
      <c r="AF9" s="2"/>
      <c r="AG9" s="2"/>
      <c r="AH9" s="2"/>
    </row>
    <row r="10">
      <c r="A10" s="2" t="s">
        <v>357</v>
      </c>
      <c r="B10" s="2" t="s">
        <v>568</v>
      </c>
      <c r="C10" s="2" t="s">
        <v>181</v>
      </c>
      <c r="D10" s="2" t="s">
        <v>228</v>
      </c>
      <c r="E10" s="2" t="s">
        <v>243</v>
      </c>
      <c r="F10" s="2" t="s">
        <v>92</v>
      </c>
      <c r="G10" s="2" t="s">
        <v>571</v>
      </c>
      <c r="H10" s="3">
        <f>IF(G10="type-I-IFN",1,IF(G10="B-cell/autoantibody",2,IF(G10="T-cell-costim",3,IF(G10="IL-17/23",4,0))))</f>
        <v>2</v>
      </c>
      <c r="I10" s="2" t="b">
        <v>0</v>
      </c>
      <c r="J10" s="3" t="str">
        <f>B10</f>
        <v>IRF5 regulatory -&gt; type-I IFN -&gt; SLE risk</v>
      </c>
      <c r="K10" s="3" t="str">
        <f>INDEX(Individuals!L2:L999, MATCH(C10,Individuals!A2:A999, 0))</f>
        <v>/intake/new-patient/conteh-ibrahim</v>
      </c>
      <c r="L10" s="3" t="str">
        <f>K10 &amp; "/mechanisms/" &amp; A10</f>
        <v>/intake/new-patient/conteh-ibrahim/mechanisms/cm-i</v>
      </c>
      <c r="M10" s="3" t="str">
        <f>INDEX(Individuals!D2:D999, MATCH(C10,Individuals!A2:A999, 0))</f>
        <v>African</v>
      </c>
      <c r="N10" s="4">
        <f>COUNTIFS(EvidenceItems!C2:C999, A10,EvidenceItems!T2:T999, TRUE())</f>
        <v>3</v>
      </c>
      <c r="O10" s="4">
        <f>COUNTIFS(EvidenceItems!C2:C999, A10,EvidenceItems!G2:G999, TRUE(),EvidenceItems!T2:T999, TRUE())</f>
        <v>2</v>
      </c>
      <c r="P10" s="4">
        <f>COUNTIFS(InterventionTargets!C2:C999, A10)</f>
        <v>1</v>
      </c>
      <c r="Q10" s="3" t="b">
        <f>IF(AND(P10 &gt;= 1, N10 &gt;= 1), TRUE(), FALSE())</f>
        <v>1</v>
      </c>
      <c r="R10" s="4">
        <f>COUNTIFS(CohortReplications!C2:C999, A10)</f>
        <v>3</v>
      </c>
      <c r="S10" s="4">
        <f>COUNTIFS(CohortReplications!C2:C999, A10,CohortReplications!K2:K999, TRUE())</f>
        <v>2</v>
      </c>
      <c r="T10" s="4">
        <f>COUNTIFS(CohortReplications!C2:C999, A10,CohortReplications!N2:N999, TRUE())</f>
        <v>1</v>
      </c>
      <c r="U10" s="3">
        <f>IF(R10 &gt; 0, S10 / R10, 0)</f>
        <v>0.6666666666666666</v>
      </c>
      <c r="V10" s="3" t="b">
        <f>IF(AND(R10 &gt;= 2, S10 &gt;= 2), TRUE(), FALSE())</f>
        <v>1</v>
      </c>
      <c r="W10" s="4">
        <f>COUNTIFS(NegativeControlTests!C2:C999, A10)</f>
        <v>2</v>
      </c>
      <c r="X10" s="4">
        <f>COUNTIFS(NegativeControlTests!C2:C999, A10,NegativeControlTests!J2:J999, TRUE())</f>
        <v>2</v>
      </c>
      <c r="Y10" s="3" t="b">
        <f>IF(AND(W10 &gt;= 1, X10 = W10), TRUE(), FALSE())</f>
        <v>1</v>
      </c>
      <c r="Z10" s="3" t="b">
        <f>IF(OR(NOT(V10), NOT(Y10), O10 &lt; 2, I10), TRUE(), FALSE())</f>
        <v>0</v>
      </c>
      <c r="AA10" s="3">
        <f>IF(((0.30 * IF(N10 &gt;= 4, 1, N10 / 4)) + (0.20 * IF(O10 &gt;= 3, 1, O10 / 3)) + (0.30 * U10) + (0.20 * IF(Y10, 1, 0))) &gt; 1, 1, (0.30 * IF(N10 &gt;= 4, 1, N10 / 4)) + (0.20 * IF(O10 &gt;= 3, 1, O10 / 3)) + (0.30 * U10) + (0.20 * IF(Y10, 1, 0)))</f>
        <v>0.7583333333333333</v>
      </c>
      <c r="AB10" s="3" t="b">
        <f>IF(D10 = "", FALSE(), INDEX(GenomicVariants!N2:N999, MATCH(D10,GenomicVariants!A2:A999, 0)))</f>
        <v>1</v>
      </c>
      <c r="AC10" s="3" t="b">
        <f>IF(AND(AA10 &gt;= 0.7, Q10, NOT(Z10), OR(AB10, E10 &lt;&gt; "")), TRUE(), FALSE())</f>
        <v>1</v>
      </c>
      <c r="AD10" s="3" t="b">
        <f>IF(AND(AC10, T10 &gt;= 1), TRUE(), FALSE())</f>
        <v>1</v>
      </c>
      <c r="AE10" s="2"/>
      <c r="AF10" s="2"/>
      <c r="AG10" s="2"/>
      <c r="AH10" s="2"/>
    </row>
    <row r="11">
      <c r="A11" s="2" t="s">
        <v>361</v>
      </c>
      <c r="B11" s="2" t="s">
        <v>568</v>
      </c>
      <c r="C11" s="2" t="s">
        <v>185</v>
      </c>
      <c r="D11" s="2" t="s">
        <v>229</v>
      </c>
      <c r="E11" s="2" t="s">
        <v>243</v>
      </c>
      <c r="F11" s="2" t="s">
        <v>92</v>
      </c>
      <c r="G11" s="2" t="s">
        <v>569</v>
      </c>
      <c r="H11" s="3">
        <f>IF(G11="type-I-IFN",1,IF(G11="B-cell/autoantibody",2,IF(G11="T-cell-costim",3,IF(G11="IL-17/23",4,0))))</f>
        <v>1</v>
      </c>
      <c r="I11" s="2" t="b">
        <v>0</v>
      </c>
      <c r="J11" s="3" t="str">
        <f>B11</f>
        <v>IRF5 regulatory -&gt; type-I IFN -&gt; SLE risk</v>
      </c>
      <c r="K11" s="3" t="str">
        <f>INDEX(Individuals!L2:L999, MATCH(C11,Individuals!A2:A999, 0))</f>
        <v>/intake/new-patient/brooks-jamal</v>
      </c>
      <c r="L11" s="3" t="str">
        <f>K11 &amp; "/mechanisms/" &amp; A11</f>
        <v>/intake/new-patient/brooks-jamal/mechanisms/cm-j</v>
      </c>
      <c r="M11" s="3" t="str">
        <f>INDEX(Individuals!D2:D999, MATCH(C11,Individuals!A2:A999, 0))</f>
        <v>Hispanic/Latino</v>
      </c>
      <c r="N11" s="4">
        <f>COUNTIFS(EvidenceItems!C2:C999, A11,EvidenceItems!T2:T999, TRUE())</f>
        <v>3</v>
      </c>
      <c r="O11" s="4">
        <f>COUNTIFS(EvidenceItems!C2:C999, A11,EvidenceItems!G2:G999, TRUE(),EvidenceItems!T2:T999, TRUE())</f>
        <v>2</v>
      </c>
      <c r="P11" s="4">
        <f>COUNTIFS(InterventionTargets!C2:C999, A11)</f>
        <v>1</v>
      </c>
      <c r="Q11" s="3" t="b">
        <f>IF(AND(P11 &gt;= 1, N11 &gt;= 1), TRUE(), FALSE())</f>
        <v>1</v>
      </c>
      <c r="R11" s="4">
        <f>COUNTIFS(CohortReplications!C2:C999, A11)</f>
        <v>3</v>
      </c>
      <c r="S11" s="4">
        <f>COUNTIFS(CohortReplications!C2:C999, A11,CohortReplications!K2:K999, TRUE())</f>
        <v>2</v>
      </c>
      <c r="T11" s="4">
        <f>COUNTIFS(CohortReplications!C2:C999, A11,CohortReplications!N2:N999, TRUE())</f>
        <v>2</v>
      </c>
      <c r="U11" s="3">
        <f>IF(R11 &gt; 0, S11 / R11, 0)</f>
        <v>0.6666666666666666</v>
      </c>
      <c r="V11" s="3" t="b">
        <f>IF(AND(R11 &gt;= 2, S11 &gt;= 2), TRUE(), FALSE())</f>
        <v>1</v>
      </c>
      <c r="W11" s="4">
        <f>COUNTIFS(NegativeControlTests!C2:C999, A11)</f>
        <v>2</v>
      </c>
      <c r="X11" s="4">
        <f>COUNTIFS(NegativeControlTests!C2:C999, A11,NegativeControlTests!J2:J999, TRUE())</f>
        <v>2</v>
      </c>
      <c r="Y11" s="3" t="b">
        <f>IF(AND(W11 &gt;= 1, X11 = W11), TRUE(), FALSE())</f>
        <v>1</v>
      </c>
      <c r="Z11" s="3" t="b">
        <f>IF(OR(NOT(V11), NOT(Y11), O11 &lt; 2, I11), TRUE(), FALSE())</f>
        <v>0</v>
      </c>
      <c r="AA11" s="3">
        <f>IF(((0.30 * IF(N11 &gt;= 4, 1, N11 / 4)) + (0.20 * IF(O11 &gt;= 3, 1, O11 / 3)) + (0.30 * U11) + (0.20 * IF(Y11, 1, 0))) &gt; 1, 1, (0.30 * IF(N11 &gt;= 4, 1, N11 / 4)) + (0.20 * IF(O11 &gt;= 3, 1, O11 / 3)) + (0.30 * U11) + (0.20 * IF(Y11, 1, 0)))</f>
        <v>0.7583333333333333</v>
      </c>
      <c r="AB11" s="3" t="b">
        <f>IF(D11 = "", FALSE(), INDEX(GenomicVariants!N2:N999, MATCH(D11,GenomicVariants!A2:A999, 0)))</f>
        <v>1</v>
      </c>
      <c r="AC11" s="3" t="b">
        <f>IF(AND(AA11 &gt;= 0.7, Q11, NOT(Z11), OR(AB11, E11 &lt;&gt; "")), TRUE(), FALSE())</f>
        <v>1</v>
      </c>
      <c r="AD11" s="3" t="b">
        <f>IF(AND(AC11, T11 &gt;= 1), TRUE(), FALSE())</f>
        <v>1</v>
      </c>
      <c r="AE11" s="2"/>
      <c r="AF11" s="2"/>
      <c r="AG11" s="2"/>
      <c r="AH11" s="2"/>
    </row>
    <row r="12">
      <c r="A12" s="2" t="s">
        <v>365</v>
      </c>
      <c r="B12" s="2" t="s">
        <v>574</v>
      </c>
      <c r="C12" s="2" t="s">
        <v>190</v>
      </c>
      <c r="D12" s="2" t="s">
        <v>230</v>
      </c>
      <c r="E12" s="2" t="s">
        <v>243</v>
      </c>
      <c r="F12" s="2" t="s">
        <v>92</v>
      </c>
      <c r="G12" s="2" t="s">
        <v>575</v>
      </c>
      <c r="H12" s="3">
        <f>IF(G12="type-I-IFN",1,IF(G12="B-cell/autoantibody",2,IF(G12="T-cell-costim",3,IF(G12="IL-17/23",4,0))))</f>
        <v>4</v>
      </c>
      <c r="I12" s="2" t="b">
        <v>0</v>
      </c>
      <c r="J12" s="3" t="str">
        <f>B12</f>
        <v>IL23R regulatory -&gt; IL-17 axis -&gt; PsA risk</v>
      </c>
      <c r="K12" s="3" t="str">
        <f>INDEX(Individuals!L2:L999, MATCH(C12,Individuals!A2:A999, 0))</f>
        <v>/intake/new-patient/nair-kavya</v>
      </c>
      <c r="L12" s="3" t="str">
        <f>K12 &amp; "/mechanisms/" &amp; A12</f>
        <v>/intake/new-patient/nair-kavya/mechanisms/cm-k</v>
      </c>
      <c r="M12" s="3" t="str">
        <f>INDEX(Individuals!D2:D999, MATCH(C12,Individuals!A2:A999, 0))</f>
        <v>South Asian</v>
      </c>
      <c r="N12" s="4">
        <f>COUNTIFS(EvidenceItems!C2:C999, A12,EvidenceItems!T2:T999, TRUE())</f>
        <v>3</v>
      </c>
      <c r="O12" s="4">
        <f>COUNTIFS(EvidenceItems!C2:C999, A12,EvidenceItems!G2:G999, TRUE(),EvidenceItems!T2:T999, TRUE())</f>
        <v>2</v>
      </c>
      <c r="P12" s="4">
        <f>COUNTIFS(InterventionTargets!C2:C999, A12)</f>
        <v>1</v>
      </c>
      <c r="Q12" s="3" t="b">
        <f>IF(AND(P12 &gt;= 1, N12 &gt;= 1), TRUE(), FALSE())</f>
        <v>1</v>
      </c>
      <c r="R12" s="4">
        <f>COUNTIFS(CohortReplications!C2:C999, A12)</f>
        <v>3</v>
      </c>
      <c r="S12" s="4">
        <f>COUNTIFS(CohortReplications!C2:C999, A12,CohortReplications!K2:K999, TRUE())</f>
        <v>3</v>
      </c>
      <c r="T12" s="4">
        <f>COUNTIFS(CohortReplications!C2:C999, A12,CohortReplications!N2:N999, TRUE())</f>
        <v>0</v>
      </c>
      <c r="U12" s="3">
        <f>IF(R12 &gt; 0, S12 / R12, 0)</f>
        <v>1</v>
      </c>
      <c r="V12" s="3" t="b">
        <f>IF(AND(R12 &gt;= 2, S12 &gt;= 2), TRUE(), FALSE())</f>
        <v>1</v>
      </c>
      <c r="W12" s="4">
        <f>COUNTIFS(NegativeControlTests!C2:C999, A12)</f>
        <v>2</v>
      </c>
      <c r="X12" s="4">
        <f>COUNTIFS(NegativeControlTests!C2:C999, A12,NegativeControlTests!J2:J999, TRUE())</f>
        <v>2</v>
      </c>
      <c r="Y12" s="3" t="b">
        <f>IF(AND(W12 &gt;= 1, X12 = W12), TRUE(), FALSE())</f>
        <v>1</v>
      </c>
      <c r="Z12" s="3" t="b">
        <f>IF(OR(NOT(V12), NOT(Y12), O12 &lt; 2, I12), TRUE(), FALSE())</f>
        <v>0</v>
      </c>
      <c r="AA12" s="3">
        <f>IF(((0.30 * IF(N12 &gt;= 4, 1, N12 / 4)) + (0.20 * IF(O12 &gt;= 3, 1, O12 / 3)) + (0.30 * U12) + (0.20 * IF(Y12, 1, 0))) &gt; 1, 1, (0.30 * IF(N12 &gt;= 4, 1, N12 / 4)) + (0.20 * IF(O12 &gt;= 3, 1, O12 / 3)) + (0.30 * U12) + (0.20 * IF(Y12, 1, 0)))</f>
        <v>0.8583333333333332</v>
      </c>
      <c r="AB12" s="3" t="b">
        <f>IF(D12 = "", FALSE(), INDEX(GenomicVariants!N2:N999, MATCH(D12,GenomicVariants!A2:A999, 0)))</f>
        <v>1</v>
      </c>
      <c r="AC12" s="3" t="b">
        <f>IF(AND(AA12 &gt;= 0.7, Q12, NOT(Z12), OR(AB12, E12 &lt;&gt; "")), TRUE(), FALSE())</f>
        <v>1</v>
      </c>
      <c r="AD12" s="3" t="b">
        <f>IF(AND(AC12, T12 &gt;= 1), TRUE(), FALSE())</f>
        <v>0</v>
      </c>
      <c r="AE12" s="2"/>
      <c r="AF12" s="2"/>
      <c r="AG12" s="2"/>
      <c r="AH12" s="2"/>
    </row>
    <row r="13">
      <c r="A13" s="2" t="s">
        <v>369</v>
      </c>
      <c r="B13" s="2" t="s">
        <v>574</v>
      </c>
      <c r="C13" s="2" t="s">
        <v>195</v>
      </c>
      <c r="D13" s="2" t="s">
        <v>231</v>
      </c>
      <c r="E13" s="2" t="s">
        <v>243</v>
      </c>
      <c r="F13" s="2" t="s">
        <v>92</v>
      </c>
      <c r="G13" s="2" t="s">
        <v>575</v>
      </c>
      <c r="H13" s="3">
        <f>IF(G13="type-I-IFN",1,IF(G13="B-cell/autoantibody",2,IF(G13="T-cell-costim",3,IF(G13="IL-17/23",4,0))))</f>
        <v>4</v>
      </c>
      <c r="I13" s="2" t="b">
        <v>0</v>
      </c>
      <c r="J13" s="3" t="str">
        <f>B13</f>
        <v>IL23R regulatory -&gt; IL-17 axis -&gt; PsA risk</v>
      </c>
      <c r="K13" s="3" t="str">
        <f>INDEX(Individuals!L2:L999, MATCH(C13,Individuals!A2:A999, 0))</f>
        <v>/intake/new-patient/brandt-lena</v>
      </c>
      <c r="L13" s="3" t="str">
        <f>K13 &amp; "/mechanisms/" &amp; A13</f>
        <v>/intake/new-patient/brandt-lena/mechanisms/cm-l</v>
      </c>
      <c r="M13" s="3" t="str">
        <f>INDEX(Individuals!D2:D999, MATCH(C13,Individuals!A2:A999, 0))</f>
        <v>Indigenous American</v>
      </c>
      <c r="N13" s="4">
        <f>COUNTIFS(EvidenceItems!C2:C999, A13,EvidenceItems!T2:T999, TRUE())</f>
        <v>3</v>
      </c>
      <c r="O13" s="4">
        <f>COUNTIFS(EvidenceItems!C2:C999, A13,EvidenceItems!G2:G999, TRUE(),EvidenceItems!T2:T999, TRUE())</f>
        <v>2</v>
      </c>
      <c r="P13" s="4">
        <f>COUNTIFS(InterventionTargets!C2:C999, A13)</f>
        <v>1</v>
      </c>
      <c r="Q13" s="3" t="b">
        <f>IF(AND(P13 &gt;= 1, N13 &gt;= 1), TRUE(), FALSE())</f>
        <v>1</v>
      </c>
      <c r="R13" s="4">
        <f>COUNTIFS(CohortReplications!C2:C999, A13)</f>
        <v>3</v>
      </c>
      <c r="S13" s="4">
        <f>COUNTIFS(CohortReplications!C2:C999, A13,CohortReplications!K2:K999, TRUE())</f>
        <v>3</v>
      </c>
      <c r="T13" s="4">
        <f>COUNTIFS(CohortReplications!C2:C999, A13,CohortReplications!N2:N999, TRUE())</f>
        <v>2</v>
      </c>
      <c r="U13" s="3">
        <f>IF(R13 &gt; 0, S13 / R13, 0)</f>
        <v>1</v>
      </c>
      <c r="V13" s="3" t="b">
        <f>IF(AND(R13 &gt;= 2, S13 &gt;= 2), TRUE(), FALSE())</f>
        <v>1</v>
      </c>
      <c r="W13" s="4">
        <f>COUNTIFS(NegativeControlTests!C2:C999, A13)</f>
        <v>2</v>
      </c>
      <c r="X13" s="4">
        <f>COUNTIFS(NegativeControlTests!C2:C999, A13,NegativeControlTests!J2:J999, TRUE())</f>
        <v>2</v>
      </c>
      <c r="Y13" s="3" t="b">
        <f>IF(AND(W13 &gt;= 1, X13 = W13), TRUE(), FALSE())</f>
        <v>1</v>
      </c>
      <c r="Z13" s="3" t="b">
        <f>IF(OR(NOT(V13), NOT(Y13), O13 &lt; 2, I13), TRUE(), FALSE())</f>
        <v>0</v>
      </c>
      <c r="AA13" s="3">
        <f>IF(((0.30 * IF(N13 &gt;= 4, 1, N13 / 4)) + (0.20 * IF(O13 &gt;= 3, 1, O13 / 3)) + (0.30 * U13) + (0.20 * IF(Y13, 1, 0))) &gt; 1, 1, (0.30 * IF(N13 &gt;= 4, 1, N13 / 4)) + (0.20 * IF(O13 &gt;= 3, 1, O13 / 3)) + (0.30 * U13) + (0.20 * IF(Y13, 1, 0)))</f>
        <v>0.8583333333333332</v>
      </c>
      <c r="AB13" s="3" t="b">
        <f>IF(D13 = "", FALSE(), INDEX(GenomicVariants!N2:N999, MATCH(D13,GenomicVariants!A2:A999, 0)))</f>
        <v>1</v>
      </c>
      <c r="AC13" s="3" t="b">
        <f>IF(AND(AA13 &gt;= 0.7, Q13, NOT(Z13), OR(AB13, E13 &lt;&gt; "")), TRUE(), FALSE())</f>
        <v>1</v>
      </c>
      <c r="AD13" s="3" t="b">
        <f>IF(AND(AC13, T13 &gt;= 1), TRUE(), FALSE())</f>
        <v>1</v>
      </c>
      <c r="AE13" s="2"/>
      <c r="AF13" s="2"/>
      <c r="AG13" s="2"/>
      <c r="AH13" s="2"/>
    </row>
  </sheetData>
  <autoFilter ref="A1:AH1"/>
  <headerFooter/>
  <legacyDrawing r:id="rId1"/>
</worksheet>
</file>

<file path=xl/worksheets/sheet1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
  <sheetViews>
    <sheetView workbookViewId="0">
      <pane ySplit="1" topLeftCell="A2" state="frozen" activePane="bottomLeft"/>
      <selection pane="bottomLeft" activeCell="A1" sqref="A1"/>
    </sheetView>
  </sheetViews>
  <sheetFormatPr defaultRowHeight="15"/>
  <cols>
    <col min="1" max="1" width="21.629043579101562" customWidth="1"/>
    <col min="2" max="2" width="27.577869415283203" customWidth="1"/>
    <col min="3" max="3" width="17.443378448486328" customWidth="1"/>
    <col min="4" max="4" width="17.443378448486328" customWidth="1"/>
    <col min="5" max="5" width="18.103036880493164" customWidth="1"/>
    <col min="6" max="6" width="17.443378448486328" customWidth="1"/>
    <col min="7" max="7" width="17.443378448486328" customWidth="1"/>
    <col min="8" max="8" width="27.577869415283203" customWidth="1"/>
    <col min="9" max="9" width="29.138185501098633" customWidth="1"/>
    <col min="10" max="10" width="49.31751251220703" customWidth="1"/>
    <col min="11" max="11" width="21.14975357055664" customWidth="1"/>
  </cols>
  <sheetData>
    <row r="1">
      <c r="A1" s="1" t="s">
        <v>576</v>
      </c>
      <c r="B1" s="1" t="s">
        <v>577</v>
      </c>
      <c r="C1" s="1" t="s">
        <v>201</v>
      </c>
      <c r="D1" s="1" t="s">
        <v>578</v>
      </c>
      <c r="E1" s="1" t="s">
        <v>579</v>
      </c>
      <c r="F1" s="1" t="s">
        <v>580</v>
      </c>
      <c r="G1" s="1" t="s">
        <v>549</v>
      </c>
      <c r="H1" s="1" t="s">
        <v>3</v>
      </c>
      <c r="I1" s="1" t="s">
        <v>23</v>
      </c>
      <c r="J1" s="1" t="s">
        <v>4</v>
      </c>
      <c r="K1" s="1" t="s">
        <v>581</v>
      </c>
    </row>
    <row r="2">
      <c r="A2" s="2" t="s">
        <v>582</v>
      </c>
      <c r="B2" s="2" t="s">
        <v>583</v>
      </c>
      <c r="C2" s="2" t="s">
        <v>145</v>
      </c>
      <c r="D2" s="2" t="s">
        <v>211</v>
      </c>
      <c r="E2" s="2" t="s">
        <v>216</v>
      </c>
      <c r="F2" s="2">
        <v>0.4</v>
      </c>
      <c r="G2" s="2" t="b">
        <v>0</v>
      </c>
      <c r="H2" s="3" t="str">
        <f>B2</f>
        <v>IRF5 x STAT4 (context only)</v>
      </c>
      <c r="I2" s="3" t="str">
        <f>INDEX(Individuals!L2:L999, MATCH(C2,Individuals!A2:A999, 0))</f>
        <v>/intake/new-patient/reyes-ana</v>
      </c>
      <c r="J2" s="3" t="str">
        <f>I2 &amp; "/epistasis/" &amp; A2</f>
        <v>/intake/new-patient/reyes-ana/epistasis/epi-context</v>
      </c>
      <c r="K2" s="3" t="b">
        <f>IF(F2 &gt; 0.5, TRUE(), FALSE())</f>
        <v>0</v>
      </c>
    </row>
  </sheetData>
  <autoFilter ref="A1:K1"/>
  <headerFooter/>
  <legacyDrawing r:id="rId1"/>
</worksheet>
</file>

<file path=xl/worksheets/sheet1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2"/>
  <sheetViews>
    <sheetView workbookViewId="0">
      <pane ySplit="1" topLeftCell="A2" state="frozen" activePane="bottomLeft"/>
      <selection pane="bottomLeft" activeCell="A1" sqref="A1"/>
    </sheetView>
  </sheetViews>
  <sheetFormatPr defaultRowHeight="15"/>
  <cols>
    <col min="1" max="1" width="26.629487991333008" customWidth="1"/>
    <col min="2" max="2" width="37.73654556274414" customWidth="1"/>
    <col min="3" max="3" width="17.443378448486328" customWidth="1"/>
    <col min="4" max="4" width="20.492414474487305" customWidth="1"/>
    <col min="5" max="5" width="18.019010543823242" customWidth="1"/>
    <col min="6" max="6" width="17.443378448486328" customWidth="1"/>
    <col min="7" max="7" width="20.075971603393555" customWidth="1"/>
    <col min="8" max="8" width="37.73654556274414" customWidth="1"/>
    <col min="9" max="9" width="29.138185501098633" customWidth="1"/>
    <col min="10" max="10" width="50.9148063659668" customWidth="1"/>
    <col min="11" max="11" width="29.51004981994629" customWidth="1"/>
    <col min="12" max="12" width="22.96840476989746" customWidth="1"/>
  </cols>
  <sheetData>
    <row r="1">
      <c r="A1" s="1" t="s">
        <v>584</v>
      </c>
      <c r="B1" s="1" t="s">
        <v>585</v>
      </c>
      <c r="C1" s="1" t="s">
        <v>201</v>
      </c>
      <c r="D1" s="1" t="s">
        <v>22</v>
      </c>
      <c r="E1" s="1" t="s">
        <v>586</v>
      </c>
      <c r="F1" s="1" t="s">
        <v>587</v>
      </c>
      <c r="G1" s="1" t="s">
        <v>588</v>
      </c>
      <c r="H1" s="1" t="s">
        <v>3</v>
      </c>
      <c r="I1" s="1" t="s">
        <v>23</v>
      </c>
      <c r="J1" s="1" t="s">
        <v>4</v>
      </c>
      <c r="K1" s="1" t="s">
        <v>492</v>
      </c>
      <c r="L1" s="1" t="s">
        <v>589</v>
      </c>
    </row>
    <row r="2">
      <c r="A2" s="2" t="s">
        <v>590</v>
      </c>
      <c r="B2" s="2" t="s">
        <v>591</v>
      </c>
      <c r="C2" s="2" t="s">
        <v>145</v>
      </c>
      <c r="D2" s="2" t="s">
        <v>13</v>
      </c>
      <c r="E2" s="2">
        <v>6</v>
      </c>
      <c r="F2" s="5">
        <v>12</v>
      </c>
      <c r="G2" s="2" t="s">
        <v>592</v>
      </c>
      <c r="H2" s="3" t="str">
        <f>B2</f>
        <v>Untreated SLE projection (context only)</v>
      </c>
      <c r="I2" s="3" t="str">
        <f>INDEX(Individuals!L2:L999, MATCH(C2,Individuals!A2:A999, 0))</f>
        <v>/intake/new-patient/reyes-ana</v>
      </c>
      <c r="J2" s="3" t="str">
        <f>I2 &amp; "/trajectories/" &amp; A2</f>
        <v>/intake/new-patient/reyes-ana/trajectories/cf-context</v>
      </c>
      <c r="K2" s="3" t="str">
        <f>INDEX(AutoimmuneDiseases!B2:B999, MATCH(D2,AutoimmuneDiseases!A2:A999, 0))</f>
        <v>Systemic Lupus Erythematosus</v>
      </c>
      <c r="L2" s="3" t="b">
        <f>IF(E2 &gt; 7, TRUE(), FALSE())</f>
        <v>0</v>
      </c>
    </row>
  </sheetData>
  <autoFilter ref="A1:L1"/>
  <headerFooter/>
  <legacyDrawing r:id="rId1"/>
</worksheet>
</file>

<file path=xl/worksheets/sheet1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V13"/>
  <sheetViews>
    <sheetView workbookViewId="0">
      <pane ySplit="1" topLeftCell="A2" state="frozen" activePane="bottomLeft"/>
      <selection pane="bottomLeft" activeCell="A1" sqref="A1"/>
    </sheetView>
  </sheetViews>
  <sheetFormatPr defaultRowHeight="15"/>
  <cols>
    <col min="1" max="1" width="22.134536743164062" customWidth="1"/>
    <col min="2" max="2" width="17.443378448486328" customWidth="1"/>
    <col min="3" max="3" width="17.443378448486328" customWidth="1"/>
    <col min="4" max="4" width="20.492414474487305" customWidth="1"/>
    <col min="5" max="5" width="17.443378448486328" customWidth="1"/>
    <col min="6" max="6" width="17.443378448486328" customWidth="1"/>
    <col min="7" max="7" width="35.28116226196289" customWidth="1"/>
    <col min="8" max="8" width="53.5694694519043" customWidth="1"/>
    <col min="9" max="9" width="23.68052864074707" customWidth="1"/>
    <col min="10" max="10" width="18.94154930114746" customWidth="1"/>
    <col min="11" max="11" width="21.403926849365234" customWidth="1"/>
    <col min="12" max="12" width="30.415414810180664" customWidth="1"/>
    <col min="13" max="13" width="34.107975006103516" customWidth="1"/>
    <col min="14" max="14" width="31.36627197265625" customWidth="1"/>
    <col min="15" max="15" width="27.104236602783203" customWidth="1"/>
    <col min="16" max="16" width="35.813026428222656" customWidth="1"/>
    <col min="17" max="17" width="41.572261810302734" customWidth="1"/>
    <col min="18" max="18" width="17.443378448486328" customWidth="1"/>
    <col min="19" max="19" width="17.443378448486328" customWidth="1"/>
    <col min="20" max="20" width="24.0573787689209" customWidth="1"/>
    <col min="21" max="21" width="17.443378448486328" customWidth="1"/>
    <col min="22" max="22" width="17.7937068939209" customWidth="1"/>
    <col min="23" max="23" width="22.258630752563477" customWidth="1"/>
    <col min="24" max="24" width="21.57865333557129" customWidth="1"/>
    <col min="25" max="25" width="28.836475372314453" customWidth="1"/>
    <col min="26" max="26" width="27.226430892944336" customWidth="1"/>
    <col min="27" max="27" width="20.600740432739258" customWidth="1"/>
    <col min="28" max="28" width="32.84915542602539" customWidth="1"/>
    <col min="29" max="29" width="24.67262840270996" customWidth="1"/>
    <col min="30" max="30" width="21.103939056396484" customWidth="1"/>
    <col min="31" max="31" width="27.109777450561523" customWidth="1"/>
    <col min="32" max="32" width="23.27910804748535" customWidth="1"/>
    <col min="33" max="33" width="22.885059356689453" customWidth="1"/>
    <col min="34" max="34" width="17.443378448486328" customWidth="1"/>
    <col min="35" max="35" width="20.507505416870117" customWidth="1"/>
    <col min="36" max="36" width="35.469337463378906" customWidth="1"/>
    <col min="37" max="37" width="31.13491439819336" customWidth="1"/>
    <col min="38" max="38" width="34.42031478881836" customWidth="1"/>
    <col min="39" max="39" width="20.7320499420166" customWidth="1"/>
    <col min="40" max="40" width="17.620786666870117" customWidth="1"/>
    <col min="41" max="41" width="23.109872817993164" customWidth="1"/>
    <col min="42" max="42" width="17.443378448486328" customWidth="1"/>
    <col min="43" max="43" width="24.79352378845215" customWidth="1"/>
    <col min="44" max="44" width="29.589521408081055" customWidth="1"/>
    <col min="45" max="45" width="30.242095947265625" customWidth="1"/>
    <col min="46" max="46" width="42.482177734375" customWidth="1"/>
    <col min="47" max="47" width="28.56832504272461" customWidth="1"/>
    <col min="48" max="48" width="33.802040100097656" customWidth="1"/>
  </cols>
  <sheetData>
    <row r="1">
      <c r="A1" s="1" t="s">
        <v>593</v>
      </c>
      <c r="B1" s="1" t="s">
        <v>594</v>
      </c>
      <c r="C1" s="1" t="s">
        <v>201</v>
      </c>
      <c r="D1" s="1" t="s">
        <v>22</v>
      </c>
      <c r="E1" s="1" t="s">
        <v>595</v>
      </c>
      <c r="F1" s="1" t="s">
        <v>3</v>
      </c>
      <c r="G1" s="1" t="s">
        <v>23</v>
      </c>
      <c r="H1" s="1" t="s">
        <v>4</v>
      </c>
      <c r="I1" s="1" t="s">
        <v>207</v>
      </c>
      <c r="J1" s="1" t="s">
        <v>596</v>
      </c>
      <c r="K1" s="1" t="s">
        <v>597</v>
      </c>
      <c r="L1" s="1" t="s">
        <v>598</v>
      </c>
      <c r="M1" s="1" t="s">
        <v>599</v>
      </c>
      <c r="N1" s="1" t="s">
        <v>600</v>
      </c>
      <c r="O1" s="1" t="s">
        <v>601</v>
      </c>
      <c r="P1" s="1" t="s">
        <v>602</v>
      </c>
      <c r="Q1" s="1" t="s">
        <v>603</v>
      </c>
      <c r="R1" s="1" t="s">
        <v>604</v>
      </c>
      <c r="S1" s="1" t="s">
        <v>605</v>
      </c>
      <c r="T1" s="1" t="s">
        <v>606</v>
      </c>
      <c r="U1" s="1" t="s">
        <v>607</v>
      </c>
      <c r="V1" s="1" t="s">
        <v>608</v>
      </c>
      <c r="W1" s="1" t="s">
        <v>609</v>
      </c>
      <c r="X1" s="1" t="s">
        <v>610</v>
      </c>
      <c r="Y1" s="1" t="s">
        <v>611</v>
      </c>
      <c r="Z1" s="1" t="s">
        <v>612</v>
      </c>
      <c r="AA1" s="1" t="s">
        <v>613</v>
      </c>
      <c r="AB1" s="1" t="s">
        <v>614</v>
      </c>
      <c r="AC1" s="1" t="s">
        <v>615</v>
      </c>
      <c r="AD1" s="1" t="s">
        <v>616</v>
      </c>
      <c r="AE1" s="1" t="s">
        <v>617</v>
      </c>
      <c r="AF1" s="1" t="s">
        <v>618</v>
      </c>
      <c r="AG1" s="1" t="s">
        <v>619</v>
      </c>
      <c r="AH1" s="1" t="s">
        <v>620</v>
      </c>
      <c r="AI1" s="1" t="s">
        <v>621</v>
      </c>
      <c r="AJ1" s="1" t="s">
        <v>622</v>
      </c>
      <c r="AK1" s="1" t="s">
        <v>623</v>
      </c>
      <c r="AL1" s="1" t="s">
        <v>496</v>
      </c>
      <c r="AM1" s="1" t="s">
        <v>624</v>
      </c>
      <c r="AN1" s="1" t="s">
        <v>625</v>
      </c>
      <c r="AO1" s="1" t="s">
        <v>626</v>
      </c>
      <c r="AP1" s="1" t="s">
        <v>627</v>
      </c>
      <c r="AQ1" s="1" t="s">
        <v>628</v>
      </c>
      <c r="AR1" s="1" t="s">
        <v>629</v>
      </c>
      <c r="AS1" s="1" t="s">
        <v>630</v>
      </c>
      <c r="AT1" s="1" t="s">
        <v>631</v>
      </c>
      <c r="AU1" s="1" t="s">
        <v>632</v>
      </c>
      <c r="AV1" s="1" t="s">
        <v>633</v>
      </c>
    </row>
    <row r="2">
      <c r="A2" s="2" t="s">
        <v>634</v>
      </c>
      <c r="B2" s="2" t="s">
        <v>634</v>
      </c>
      <c r="C2" s="2" t="s">
        <v>145</v>
      </c>
      <c r="D2" s="2" t="s">
        <v>13</v>
      </c>
      <c r="E2" s="2" t="s">
        <v>635</v>
      </c>
      <c r="F2" s="3" t="str">
        <f>B2</f>
        <v>pred-a</v>
      </c>
      <c r="G2" s="3" t="str">
        <f>INDEX(Individuals!L2:L999, MATCH(C2,Individuals!A2:A999, 0))</f>
        <v>/intake/new-patient/reyes-ana</v>
      </c>
      <c r="H2" s="3" t="str">
        <f>G2 &amp; "/predictions/" &amp; A2</f>
        <v>/intake/new-patient/reyes-ana/predictions/pred-a</v>
      </c>
      <c r="I2" s="3" t="str">
        <f>INDEX(Individuals!D2:D999, MATCH(C2,Individuals!A2:A999, 0))</f>
        <v>European</v>
      </c>
      <c r="J2" s="3" t="b">
        <f>INDEX(Individuals!F2:F999, MATCH(C2,Individuals!A2:A999, 0))</f>
        <v>0</v>
      </c>
      <c r="K2" s="3">
        <f>IF(C2 = "", 0, INDEX(Individuals!V2:V999, MATCH(C2,Individuals!A2:A999, 0)))</f>
        <v>0.7583333333333333</v>
      </c>
      <c r="L2" s="4">
        <f>IF(C2 = "", 0, INDEX(Individuals!U2:U999, MATCH(C2,Individuals!A2:A999, 0)))</f>
        <v>1</v>
      </c>
      <c r="M2" s="4">
        <f>IF(C2 = "", 0, INDEX(Individuals!W2:W999, MATCH(C2,Individuals!A2:A999, 0)))</f>
        <v>1</v>
      </c>
      <c r="N2" s="3" t="b">
        <f>IF(C2 = "", FALSE(), INDEX(Individuals!I2:I999, MATCH(C2,Individuals!A2:A999, 0)))</f>
        <v>0</v>
      </c>
      <c r="O2" s="3">
        <f>IF(C2 = "", 0, INDEX(Individuals!X2:X999, MATCH(C2,Individuals!A2:A999, 0)))</f>
        <v>9</v>
      </c>
      <c r="P2" s="3" t="b">
        <f>IF(C2 = "", FALSE(), INDEX(Individuals!Z2:Z999, MATCH(C2,Individuals!A2:A999, 0)))</f>
        <v>1</v>
      </c>
      <c r="Q2" s="3" t="b">
        <f>IF(C2 = "", FALSE(), INDEX(Individuals!AB2:AB999, MATCH(C2,Individuals!A2:A999, 0)))</f>
        <v>1</v>
      </c>
      <c r="R2" s="3">
        <f>IF(((2 * K2) + (1.5 * L2)) &gt; 10, 10, (2 * K2) + (1.5 * L2))</f>
        <v>3.0166666666666666</v>
      </c>
      <c r="S2" s="4">
        <f>COUNTIFS(CalibrationBins!C2:C999, A2)</f>
        <v>5</v>
      </c>
      <c r="T2" s="4">
        <f>COUNTIFS(CalibrationBins!C2:C999, A2,CalibrationBins!K2:K999, TRUE())</f>
        <v>5</v>
      </c>
      <c r="U2" s="3">
        <f>SUMIFS(CalibrationBins!J2:J999,CalibrationBins!C2:C999, A2)</f>
        <v>0.06000000000000005</v>
      </c>
      <c r="V2" s="3">
        <f>IF(S2 &gt; 0, U2 / S2, 1)</f>
        <v>0.01200000000000001</v>
      </c>
      <c r="W2" s="3">
        <f>IF(S2 &gt; 0, T2 / S2, 0)</f>
        <v>1</v>
      </c>
      <c r="X2" s="3">
        <f>IF((1 - V2) &lt; 0, 0, (1 - V2)) * W2</f>
        <v>0.988</v>
      </c>
      <c r="Y2" s="3" t="b">
        <f>IF(L2 &gt;= 1, TRUE(), FALSE())</f>
        <v>1</v>
      </c>
      <c r="Z2" s="3" t="b">
        <f>IF(OR(NOT(Y2), N2), TRUE(), FALSE())</f>
        <v>0</v>
      </c>
      <c r="AA2" s="3" t="b">
        <f>IF(L2 &gt;= 1, TRUE(), FALSE())</f>
        <v>1</v>
      </c>
      <c r="AB2" s="3" t="b">
        <f>IF(AND(J2, M2 &gt;= 1, NOT(Z2)), TRUE(), FALSE())</f>
        <v>0</v>
      </c>
      <c r="AC2" s="3" t="b">
        <f>IF(J2, AB2, TRUE())</f>
        <v>1</v>
      </c>
      <c r="AD2" s="3" t="str">
        <f>IF(NOT(J2), "NotApplicable", IF(AB2, "PASS-tested", "FAIL"))</f>
        <v>NotApplicable</v>
      </c>
      <c r="AE2" s="3" t="b">
        <f>IF(AND(X2 &gt;= 0.7, NOT(Z2)), TRUE(), FALSE())</f>
        <v>1</v>
      </c>
      <c r="AF2" s="3" t="str">
        <f>IF(R2 &gt;= 7, "High-Risk Pathway", IF(R2 &gt;= 4, "Moderate-Risk Pathway", "Low-Risk Pathway"))</f>
        <v>Low-Risk Pathway</v>
      </c>
      <c r="AG2" s="3">
        <f>O2</f>
        <v>9</v>
      </c>
      <c r="AH2" s="3" t="str">
        <f>IF(AG2 &gt; 7, "Severe", IF(AG2 &gt;= 4, "Moderate", "Mild"))</f>
        <v>Severe</v>
      </c>
      <c r="AI2" s="3" t="b">
        <f>IF(AND(P2, Y2, NOT(Z2)), TRUE(), FALSE())</f>
        <v>1</v>
      </c>
      <c r="AJ2" s="3" t="str">
        <f>IF(AI2, "HighSeverityOnConfirmedMechanism", IF(NOT(P2), "NotHighSeverity", IF(NOT(Y2), "NoValidatedMechanism", IF(Z2, "SpuriousFlag", "Undetermined"))))</f>
        <v>HighSeverityOnConfirmedMechanism</v>
      </c>
      <c r="AK2" s="3" t="b">
        <f>IF(Q2, TRUE(), FALSE())</f>
        <v>1</v>
      </c>
      <c r="AL2" s="3" t="str">
        <f>IF(AK2, "EffectiveOnConfirmedMechanism", IF(Y2, "NoEffectiveTreatmentOnMechanism", "NoConfirmedMechanism"))</f>
        <v>EffectiveOnConfirmedMechanism</v>
      </c>
      <c r="AM2" s="3" t="b">
        <f>IF(AND(AE2, AA2, AC2, R2 &gt; 0), TRUE(), FALSE())</f>
        <v>1</v>
      </c>
      <c r="AN2" s="3" t="str">
        <f>IF(AND(AE2,AA2,AC2,R2&gt;0),"Actionable",IF(OR(NOT(Y2),NOT(AA2)),"NotActionable",IF(N2,"NotActionable",IF(X2&lt;0.7,"NotActionable",IF(NOT(AC2),"NotActionable","Actionable")))))</f>
        <v>Actionable</v>
      </c>
      <c r="AO2" s="3" t="str">
        <f>IF(AM2,"AllGatesPass",IF(NOT(Y2),"NoValidatedMechanism",IF(N2,"CrypticRelatedness",IF(X2&lt;0.7,"Calibration",IF(NOT(AC2),"AncestryTransport","Undetermined")))))</f>
        <v>AllGatesPass</v>
      </c>
      <c r="AP2" s="2"/>
      <c r="AQ2" s="3" t="str">
        <f>INDEX(Individuals!AX2:AX999, MATCH(C2,Individuals!A2:A999, 0))</f>
        <v>type-I-IFN</v>
      </c>
      <c r="AR2" s="3" t="str">
        <f>INDEX(Individuals!AS2:AS999, MATCH(C2,Individuals!A2:A999, 0))</f>
        <v>PresymptomaticAutoimmunity</v>
      </c>
      <c r="AS2" s="3" t="b">
        <f>INDEX(Individuals!AV2:AV999, MATCH(C2,Individuals!A2:A999, 0))</f>
        <v>0</v>
      </c>
      <c r="AT2" s="3" t="str">
        <f>IF(NOT(Y2),"No targeted line — mechanism unconfirmed",IF(OR(AR2="RenalFlareRisk",AR2="BiopsyIndicated"),"Mycophenolate (induction)",IF(AQ2="type-I-IFN","Anifrolumab",IF(AQ2="B-cell/autoantibody","Belimumab",IF(AQ2="IL-17/23","Secukinumab","Standard-of-care (no mechanism-matched targeted line)")))))</f>
        <v>Anifrolumab</v>
      </c>
      <c r="AU2" s="3" t="str">
        <f>IF(NOT(Y2),"MechanismUnconfirmed",IF(OR(AR2="RenalFlareRisk",AR2="BiopsyIndicated"),"ActiveNephritis-Induction",IF(AQ2="type-I-IFN","IFNSignature-Anifrolumab",IF(AQ2="B-cell/autoantibody","AutoantibodyDriven-Belimumab",IF(AQ2="IL-17/23","IL17Axis-Secukinumab","NoMechanismMatch")))))</f>
        <v>IFNSignature-Anifrolumab</v>
      </c>
      <c r="AV2" s="3" t="b">
        <f>IF(AND(AS2,NOT(AM2)),TRUE(),FALSE())</f>
        <v>0</v>
      </c>
    </row>
    <row r="3">
      <c r="A3" s="2" t="s">
        <v>636</v>
      </c>
      <c r="B3" s="2" t="s">
        <v>636</v>
      </c>
      <c r="C3" s="2" t="s">
        <v>150</v>
      </c>
      <c r="D3" s="2" t="s">
        <v>13</v>
      </c>
      <c r="E3" s="2" t="s">
        <v>635</v>
      </c>
      <c r="F3" s="3" t="str">
        <f>B3</f>
        <v>pred-b</v>
      </c>
      <c r="G3" s="3" t="str">
        <f>INDEX(Individuals!L2:L999, MATCH(C3,Individuals!A2:A999, 0))</f>
        <v>/intake/new-patient/okafor-bili</v>
      </c>
      <c r="H3" s="3" t="str">
        <f>G3 &amp; "/predictions/" &amp; A3</f>
        <v>/intake/new-patient/okafor-bili/predictions/pred-b</v>
      </c>
      <c r="I3" s="3" t="str">
        <f>INDEX(Individuals!D2:D999, MATCH(C3,Individuals!A2:A999, 0))</f>
        <v>European</v>
      </c>
      <c r="J3" s="3" t="b">
        <f>INDEX(Individuals!F2:F999, MATCH(C3,Individuals!A2:A999, 0))</f>
        <v>0</v>
      </c>
      <c r="K3" s="3">
        <f>IF(C3 = "", 0, INDEX(Individuals!V2:V999, MATCH(C3,Individuals!A2:A999, 0)))</f>
        <v>0.7583333333333333</v>
      </c>
      <c r="L3" s="4">
        <f>IF(C3 = "", 0, INDEX(Individuals!U2:U999, MATCH(C3,Individuals!A2:A999, 0)))</f>
        <v>1</v>
      </c>
      <c r="M3" s="4">
        <f>IF(C3 = "", 0, INDEX(Individuals!W2:W999, MATCH(C3,Individuals!A2:A999, 0)))</f>
        <v>1</v>
      </c>
      <c r="N3" s="3" t="b">
        <f>IF(C3 = "", FALSE(), INDEX(Individuals!I2:I999, MATCH(C3,Individuals!A2:A999, 0)))</f>
        <v>0</v>
      </c>
      <c r="O3" s="3">
        <f>IF(C3 = "", 0, INDEX(Individuals!X2:X999, MATCH(C3,Individuals!A2:A999, 0)))</f>
        <v>8</v>
      </c>
      <c r="P3" s="3" t="b">
        <f>IF(C3 = "", FALSE(), INDEX(Individuals!Z2:Z999, MATCH(C3,Individuals!A2:A999, 0)))</f>
        <v>1</v>
      </c>
      <c r="Q3" s="3" t="b">
        <f>IF(C3 = "", FALSE(), INDEX(Individuals!AB2:AB999, MATCH(C3,Individuals!A2:A999, 0)))</f>
        <v>1</v>
      </c>
      <c r="R3" s="3">
        <f>IF(((2 * K3) + (1.5 * L3)) &gt; 10, 10, (2 * K3) + (1.5 * L3))</f>
        <v>3.0166666666666666</v>
      </c>
      <c r="S3" s="4">
        <f>COUNTIFS(CalibrationBins!C2:C999, A3)</f>
        <v>5</v>
      </c>
      <c r="T3" s="4">
        <f>COUNTIFS(CalibrationBins!C2:C999, A3,CalibrationBins!K2:K999, TRUE())</f>
        <v>0</v>
      </c>
      <c r="U3" s="3">
        <f>SUMIFS(CalibrationBins!J2:J999,CalibrationBins!C2:C999, A3)</f>
        <v>0.18000000000000002</v>
      </c>
      <c r="V3" s="3">
        <f>IF(S3 &gt; 0, U3 / S3, 1)</f>
        <v>0.036000000000000004</v>
      </c>
      <c r="W3" s="3">
        <f>IF(S3 &gt; 0, T3 / S3, 0)</f>
        <v>0</v>
      </c>
      <c r="X3" s="3">
        <f>IF((1 - V3) &lt; 0, 0, (1 - V3)) * W3</f>
        <v>0</v>
      </c>
      <c r="Y3" s="3" t="b">
        <f>IF(L3 &gt;= 1, TRUE(), FALSE())</f>
        <v>1</v>
      </c>
      <c r="Z3" s="3" t="b">
        <f>IF(OR(NOT(Y3), N3), TRUE(), FALSE())</f>
        <v>0</v>
      </c>
      <c r="AA3" s="3" t="b">
        <f>IF(L3 &gt;= 1, TRUE(), FALSE())</f>
        <v>1</v>
      </c>
      <c r="AB3" s="3" t="b">
        <f>IF(AND(J3, M3 &gt;= 1, NOT(Z3)), TRUE(), FALSE())</f>
        <v>0</v>
      </c>
      <c r="AC3" s="3" t="b">
        <f>IF(J3, AB3, TRUE())</f>
        <v>1</v>
      </c>
      <c r="AD3" s="3" t="str">
        <f>IF(NOT(J3), "NotApplicable", IF(AB3, "PASS-tested", "FAIL"))</f>
        <v>NotApplicable</v>
      </c>
      <c r="AE3" s="3" t="b">
        <f>IF(AND(X3 &gt;= 0.7, NOT(Z3)), TRUE(), FALSE())</f>
        <v>0</v>
      </c>
      <c r="AF3" s="3" t="str">
        <f>IF(R3 &gt;= 7, "High-Risk Pathway", IF(R3 &gt;= 4, "Moderate-Risk Pathway", "Low-Risk Pathway"))</f>
        <v>Low-Risk Pathway</v>
      </c>
      <c r="AG3" s="3">
        <f>O3</f>
        <v>8</v>
      </c>
      <c r="AH3" s="3" t="str">
        <f>IF(AG3 &gt; 7, "Severe", IF(AG3 &gt;= 4, "Moderate", "Mild"))</f>
        <v>Severe</v>
      </c>
      <c r="AI3" s="3" t="b">
        <f>IF(AND(P3, Y3, NOT(Z3)), TRUE(), FALSE())</f>
        <v>1</v>
      </c>
      <c r="AJ3" s="3" t="str">
        <f>IF(AI3, "HighSeverityOnConfirmedMechanism", IF(NOT(P3), "NotHighSeverity", IF(NOT(Y3), "NoValidatedMechanism", IF(Z3, "SpuriousFlag", "Undetermined"))))</f>
        <v>HighSeverityOnConfirmedMechanism</v>
      </c>
      <c r="AK3" s="3" t="b">
        <f>IF(Q3, TRUE(), FALSE())</f>
        <v>1</v>
      </c>
      <c r="AL3" s="3" t="str">
        <f>IF(AK3, "EffectiveOnConfirmedMechanism", IF(Y3, "NoEffectiveTreatmentOnMechanism", "NoConfirmedMechanism"))</f>
        <v>EffectiveOnConfirmedMechanism</v>
      </c>
      <c r="AM3" s="3" t="b">
        <f>IF(AND(AE3, AA3, AC3, R3 &gt; 0), TRUE(), FALSE())</f>
        <v>0</v>
      </c>
      <c r="AN3" s="3" t="str">
        <f>IF(AND(AE3,AA3,AC3,R3&gt;0),"Actionable",IF(OR(NOT(Y3),NOT(AA3)),"NotActionable",IF(N3,"NotActionable",IF(X3&lt;0.7,"NotActionable",IF(NOT(AC3),"NotActionable","Actionable")))))</f>
        <v>NotActionable</v>
      </c>
      <c r="AO3" s="3" t="str">
        <f>IF(AM3,"AllGatesPass",IF(NOT(Y3),"NoValidatedMechanism",IF(N3,"CrypticRelatedness",IF(X3&lt;0.7,"Calibration",IF(NOT(AC3),"AncestryTransport","Undetermined")))))</f>
        <v>Calibration</v>
      </c>
      <c r="AP3" s="2"/>
      <c r="AQ3" s="3" t="str">
        <f>INDEX(Individuals!AX2:AX999, MATCH(C3,Individuals!A2:A999, 0))</f>
        <v>type-I-IFN</v>
      </c>
      <c r="AR3" s="3" t="str">
        <f>INDEX(Individuals!AS2:AS999, MATCH(C3,Individuals!A2:A999, 0))</f>
        <v>PresymptomaticAutoimmunity</v>
      </c>
      <c r="AS3" s="3" t="b">
        <f>INDEX(Individuals!AV2:AV999, MATCH(C3,Individuals!A2:A999, 0))</f>
        <v>0</v>
      </c>
      <c r="AT3" s="3" t="str">
        <f>IF(NOT(Y3),"No targeted line — mechanism unconfirmed",IF(OR(AR3="RenalFlareRisk",AR3="BiopsyIndicated"),"Mycophenolate (induction)",IF(AQ3="type-I-IFN","Anifrolumab",IF(AQ3="B-cell/autoantibody","Belimumab",IF(AQ3="IL-17/23","Secukinumab","Standard-of-care (no mechanism-matched targeted line)")))))</f>
        <v>Anifrolumab</v>
      </c>
      <c r="AU3" s="3" t="str">
        <f>IF(NOT(Y3),"MechanismUnconfirmed",IF(OR(AR3="RenalFlareRisk",AR3="BiopsyIndicated"),"ActiveNephritis-Induction",IF(AQ3="type-I-IFN","IFNSignature-Anifrolumab",IF(AQ3="B-cell/autoantibody","AutoantibodyDriven-Belimumab",IF(AQ3="IL-17/23","IL17Axis-Secukinumab","NoMechanismMatch")))))</f>
        <v>IFNSignature-Anifrolumab</v>
      </c>
      <c r="AV3" s="3" t="b">
        <f>IF(AND(AS3,NOT(AM3)),TRUE(),FALSE())</f>
        <v>0</v>
      </c>
    </row>
    <row r="4">
      <c r="A4" s="2" t="s">
        <v>637</v>
      </c>
      <c r="B4" s="2" t="s">
        <v>637</v>
      </c>
      <c r="C4" s="2" t="s">
        <v>154</v>
      </c>
      <c r="D4" s="2" t="s">
        <v>13</v>
      </c>
      <c r="E4" s="2" t="s">
        <v>635</v>
      </c>
      <c r="F4" s="3" t="str">
        <f>B4</f>
        <v>pred-c</v>
      </c>
      <c r="G4" s="3" t="str">
        <f>INDEX(Individuals!L2:L999, MATCH(C4,Individuals!A2:A999, 0))</f>
        <v>/intake/new-patient/wei-chen</v>
      </c>
      <c r="H4" s="3" t="str">
        <f>G4 &amp; "/predictions/" &amp; A4</f>
        <v>/intake/new-patient/wei-chen/predictions/pred-c</v>
      </c>
      <c r="I4" s="3" t="str">
        <f>INDEX(Individuals!D2:D999, MATCH(C4,Individuals!A2:A999, 0))</f>
        <v>East Asian</v>
      </c>
      <c r="J4" s="3" t="b">
        <f>INDEX(Individuals!F2:F999, MATCH(C4,Individuals!A2:A999, 0))</f>
        <v>0</v>
      </c>
      <c r="K4" s="3">
        <f>IF(C4 = "", 0, INDEX(Individuals!V2:V999, MATCH(C4,Individuals!A2:A999, 0)))</f>
        <v>0</v>
      </c>
      <c r="L4" s="4">
        <f>IF(C4 = "", 0, INDEX(Individuals!U2:U999, MATCH(C4,Individuals!A2:A999, 0)))</f>
        <v>0</v>
      </c>
      <c r="M4" s="4">
        <f>IF(C4 = "", 0, INDEX(Individuals!W2:W999, MATCH(C4,Individuals!A2:A999, 0)))</f>
        <v>0</v>
      </c>
      <c r="N4" s="3" t="b">
        <f>IF(C4 = "", FALSE(), INDEX(Individuals!I2:I999, MATCH(C4,Individuals!A2:A999, 0)))</f>
        <v>0</v>
      </c>
      <c r="O4" s="3">
        <f>IF(C4 = "", 0, INDEX(Individuals!X2:X999, MATCH(C4,Individuals!A2:A999, 0)))</f>
        <v>9</v>
      </c>
      <c r="P4" s="3" t="b">
        <f>IF(C4 = "", FALSE(), INDEX(Individuals!Z2:Z999, MATCH(C4,Individuals!A2:A999, 0)))</f>
        <v>1</v>
      </c>
      <c r="Q4" s="3" t="b">
        <f>IF(C4 = "", FALSE(), INDEX(Individuals!AB2:AB999, MATCH(C4,Individuals!A2:A999, 0)))</f>
        <v>0</v>
      </c>
      <c r="R4" s="3">
        <f>IF(((2 * K4) + (1.5 * L4)) &gt; 10, 10, (2 * K4) + (1.5 * L4))</f>
        <v>0</v>
      </c>
      <c r="S4" s="4">
        <f>COUNTIFS(CalibrationBins!C2:C999, A4)</f>
        <v>5</v>
      </c>
      <c r="T4" s="4">
        <f>COUNTIFS(CalibrationBins!C2:C999, A4,CalibrationBins!K2:K999, TRUE())</f>
        <v>5</v>
      </c>
      <c r="U4" s="3">
        <f>SUMIFS(CalibrationBins!J2:J999,CalibrationBins!C2:C999, A4)</f>
        <v>0.07999999999999995</v>
      </c>
      <c r="V4" s="3">
        <f>IF(S4 &gt; 0, U4 / S4, 1)</f>
        <v>0.01599999999999999</v>
      </c>
      <c r="W4" s="3">
        <f>IF(S4 &gt; 0, T4 / S4, 0)</f>
        <v>1</v>
      </c>
      <c r="X4" s="3">
        <f>IF((1 - V4) &lt; 0, 0, (1 - V4)) * W4</f>
        <v>0.984</v>
      </c>
      <c r="Y4" s="3" t="b">
        <f>IF(L4 &gt;= 1, TRUE(), FALSE())</f>
        <v>0</v>
      </c>
      <c r="Z4" s="3" t="b">
        <f>IF(OR(NOT(Y4), N4), TRUE(), FALSE())</f>
        <v>1</v>
      </c>
      <c r="AA4" s="3" t="b">
        <f>IF(L4 &gt;= 1, TRUE(), FALSE())</f>
        <v>0</v>
      </c>
      <c r="AB4" s="3" t="b">
        <f>IF(AND(J4, M4 &gt;= 1, NOT(Z4)), TRUE(), FALSE())</f>
        <v>0</v>
      </c>
      <c r="AC4" s="3" t="b">
        <f>IF(J4, AB4, TRUE())</f>
        <v>1</v>
      </c>
      <c r="AD4" s="3" t="str">
        <f>IF(NOT(J4), "NotApplicable", IF(AB4, "PASS-tested", "FAIL"))</f>
        <v>NotApplicable</v>
      </c>
      <c r="AE4" s="3" t="b">
        <f>IF(AND(X4 &gt;= 0.7, NOT(Z4)), TRUE(), FALSE())</f>
        <v>0</v>
      </c>
      <c r="AF4" s="3" t="str">
        <f>IF(R4 &gt;= 7, "High-Risk Pathway", IF(R4 &gt;= 4, "Moderate-Risk Pathway", "Low-Risk Pathway"))</f>
        <v>Low-Risk Pathway</v>
      </c>
      <c r="AG4" s="3">
        <f>O4</f>
        <v>9</v>
      </c>
      <c r="AH4" s="3" t="str">
        <f>IF(AG4 &gt; 7, "Severe", IF(AG4 &gt;= 4, "Moderate", "Mild"))</f>
        <v>Severe</v>
      </c>
      <c r="AI4" s="3" t="b">
        <f>IF(AND(P4, Y4, NOT(Z4)), TRUE(), FALSE())</f>
        <v>0</v>
      </c>
      <c r="AJ4" s="3" t="str">
        <f>IF(AI4, "HighSeverityOnConfirmedMechanism", IF(NOT(P4), "NotHighSeverity", IF(NOT(Y4), "NoValidatedMechanism", IF(Z4, "SpuriousFlag", "Undetermined"))))</f>
        <v>NoValidatedMechanism</v>
      </c>
      <c r="AK4" s="3" t="b">
        <f>IF(Q4, TRUE(), FALSE())</f>
        <v>0</v>
      </c>
      <c r="AL4" s="3" t="str">
        <f>IF(AK4, "EffectiveOnConfirmedMechanism", IF(Y4, "NoEffectiveTreatmentOnMechanism", "NoConfirmedMechanism"))</f>
        <v>NoConfirmedMechanism</v>
      </c>
      <c r="AM4" s="3" t="b">
        <f>IF(AND(AE4, AA4, AC4, R4 &gt; 0), TRUE(), FALSE())</f>
        <v>0</v>
      </c>
      <c r="AN4" s="3" t="str">
        <f>IF(AND(AE4,AA4,AC4,R4&gt;0),"Actionable",IF(OR(NOT(Y4),NOT(AA4)),"NotActionable",IF(N4,"NotActionable",IF(X4&lt;0.7,"NotActionable",IF(NOT(AC4),"NotActionable","Actionable")))))</f>
        <v>NotActionable</v>
      </c>
      <c r="AO4" s="3" t="str">
        <f>IF(AM4,"AllGatesPass",IF(NOT(Y4),"NoValidatedMechanism",IF(N4,"CrypticRelatedness",IF(X4&lt;0.7,"Calibration",IF(NOT(AC4),"AncestryTransport","Undetermined")))))</f>
        <v>NoValidatedMechanism</v>
      </c>
      <c r="AP4" s="2"/>
      <c r="AQ4" s="3" t="str">
        <f>INDEX(Individuals!AX2:AX999, MATCH(C4,Individuals!A2:A999, 0))</f>
        <v>B-cell/autoantibody</v>
      </c>
      <c r="AR4" s="3" t="str">
        <f>INDEX(Individuals!AS2:AS999, MATCH(C4,Individuals!A2:A999, 0))</f>
        <v>PresymptomaticAutoimmunity</v>
      </c>
      <c r="AS4" s="3" t="b">
        <f>INDEX(Individuals!AV2:AV999, MATCH(C4,Individuals!A2:A999, 0))</f>
        <v>0</v>
      </c>
      <c r="AT4" s="3" t="str">
        <f>IF(NOT(Y4),"No targeted line — mechanism unconfirmed",IF(OR(AR4="RenalFlareRisk",AR4="BiopsyIndicated"),"Mycophenolate (induction)",IF(AQ4="type-I-IFN","Anifrolumab",IF(AQ4="B-cell/autoantibody","Belimumab",IF(AQ4="IL-17/23","Secukinumab","Standard-of-care (no mechanism-matched targeted line)")))))</f>
        <v>No targeted line — mechanism unconfirmed</v>
      </c>
      <c r="AU4" s="3" t="str">
        <f>IF(NOT(Y4),"MechanismUnconfirmed",IF(OR(AR4="RenalFlareRisk",AR4="BiopsyIndicated"),"ActiveNephritis-Induction",IF(AQ4="type-I-IFN","IFNSignature-Anifrolumab",IF(AQ4="B-cell/autoantibody","AutoantibodyDriven-Belimumab",IF(AQ4="IL-17/23","IL17Axis-Secukinumab","NoMechanismMatch")))))</f>
        <v>MechanismUnconfirmed</v>
      </c>
      <c r="AV4" s="3" t="b">
        <f>IF(AND(AS4,NOT(AM4)),TRUE(),FALSE())</f>
        <v>0</v>
      </c>
    </row>
    <row r="5">
      <c r="A5" s="2" t="s">
        <v>638</v>
      </c>
      <c r="B5" s="2" t="s">
        <v>638</v>
      </c>
      <c r="C5" s="2" t="s">
        <v>159</v>
      </c>
      <c r="D5" s="2" t="s">
        <v>13</v>
      </c>
      <c r="E5" s="2" t="s">
        <v>635</v>
      </c>
      <c r="F5" s="3" t="str">
        <f>B5</f>
        <v>pred-d</v>
      </c>
      <c r="G5" s="3" t="str">
        <f>INDEX(Individuals!L2:L999, MATCH(C5,Individuals!A2:A999, 0))</f>
        <v>/intake/new-patient/santos-diego</v>
      </c>
      <c r="H5" s="3" t="str">
        <f>G5 &amp; "/predictions/" &amp; A5</f>
        <v>/intake/new-patient/santos-diego/predictions/pred-d</v>
      </c>
      <c r="I5" s="3" t="str">
        <f>INDEX(Individuals!D2:D999, MATCH(C5,Individuals!A2:A999, 0))</f>
        <v>European</v>
      </c>
      <c r="J5" s="3" t="b">
        <f>INDEX(Individuals!F2:F999, MATCH(C5,Individuals!A2:A999, 0))</f>
        <v>0</v>
      </c>
      <c r="K5" s="3">
        <f>IF(C5 = "", 0, INDEX(Individuals!V2:V999, MATCH(C5,Individuals!A2:A999, 0)))</f>
        <v>0.7583333333333333</v>
      </c>
      <c r="L5" s="4">
        <f>IF(C5 = "", 0, INDEX(Individuals!U2:U999, MATCH(C5,Individuals!A2:A999, 0)))</f>
        <v>1</v>
      </c>
      <c r="M5" s="4">
        <f>IF(C5 = "", 0, INDEX(Individuals!W2:W999, MATCH(C5,Individuals!A2:A999, 0)))</f>
        <v>1</v>
      </c>
      <c r="N5" s="3" t="b">
        <f>IF(C5 = "", FALSE(), INDEX(Individuals!I2:I999, MATCH(C5,Individuals!A2:A999, 0)))</f>
        <v>1</v>
      </c>
      <c r="O5" s="3">
        <f>IF(C5 = "", 0, INDEX(Individuals!X2:X999, MATCH(C5,Individuals!A2:A999, 0)))</f>
        <v>8</v>
      </c>
      <c r="P5" s="3" t="b">
        <f>IF(C5 = "", FALSE(), INDEX(Individuals!Z2:Z999, MATCH(C5,Individuals!A2:A999, 0)))</f>
        <v>1</v>
      </c>
      <c r="Q5" s="3" t="b">
        <f>IF(C5 = "", FALSE(), INDEX(Individuals!AB2:AB999, MATCH(C5,Individuals!A2:A999, 0)))</f>
        <v>0</v>
      </c>
      <c r="R5" s="3">
        <f>IF(((2 * K5) + (1.5 * L5)) &gt; 10, 10, (2 * K5) + (1.5 * L5))</f>
        <v>3.0166666666666666</v>
      </c>
      <c r="S5" s="4">
        <f>COUNTIFS(CalibrationBins!C2:C999, A5)</f>
        <v>5</v>
      </c>
      <c r="T5" s="4">
        <f>COUNTIFS(CalibrationBins!C2:C999, A5,CalibrationBins!K2:K999, TRUE())</f>
        <v>5</v>
      </c>
      <c r="U5" s="3">
        <f>SUMIFS(CalibrationBins!J2:J999,CalibrationBins!C2:C999, A5)</f>
        <v>0.06000000000000004</v>
      </c>
      <c r="V5" s="3">
        <f>IF(S5 &gt; 0, U5 / S5, 1)</f>
        <v>0.012000000000000007</v>
      </c>
      <c r="W5" s="3">
        <f>IF(S5 &gt; 0, T5 / S5, 0)</f>
        <v>1</v>
      </c>
      <c r="X5" s="3">
        <f>IF((1 - V5) &lt; 0, 0, (1 - V5)) * W5</f>
        <v>0.988</v>
      </c>
      <c r="Y5" s="3" t="b">
        <f>IF(L5 &gt;= 1, TRUE(), FALSE())</f>
        <v>1</v>
      </c>
      <c r="Z5" s="3" t="b">
        <f>IF(OR(NOT(Y5), N5), TRUE(), FALSE())</f>
        <v>1</v>
      </c>
      <c r="AA5" s="3" t="b">
        <f>IF(L5 &gt;= 1, TRUE(), FALSE())</f>
        <v>1</v>
      </c>
      <c r="AB5" s="3" t="b">
        <f>IF(AND(J5, M5 &gt;= 1, NOT(Z5)), TRUE(), FALSE())</f>
        <v>0</v>
      </c>
      <c r="AC5" s="3" t="b">
        <f>IF(J5, AB5, TRUE())</f>
        <v>1</v>
      </c>
      <c r="AD5" s="3" t="str">
        <f>IF(NOT(J5), "NotApplicable", IF(AB5, "PASS-tested", "FAIL"))</f>
        <v>NotApplicable</v>
      </c>
      <c r="AE5" s="3" t="b">
        <f>IF(AND(X5 &gt;= 0.7, NOT(Z5)), TRUE(), FALSE())</f>
        <v>0</v>
      </c>
      <c r="AF5" s="3" t="str">
        <f>IF(R5 &gt;= 7, "High-Risk Pathway", IF(R5 &gt;= 4, "Moderate-Risk Pathway", "Low-Risk Pathway"))</f>
        <v>Low-Risk Pathway</v>
      </c>
      <c r="AG5" s="3">
        <f>O5</f>
        <v>8</v>
      </c>
      <c r="AH5" s="3" t="str">
        <f>IF(AG5 &gt; 7, "Severe", IF(AG5 &gt;= 4, "Moderate", "Mild"))</f>
        <v>Severe</v>
      </c>
      <c r="AI5" s="3" t="b">
        <f>IF(AND(P5, Y5, NOT(Z5)), TRUE(), FALSE())</f>
        <v>0</v>
      </c>
      <c r="AJ5" s="3" t="str">
        <f>IF(AI5, "HighSeverityOnConfirmedMechanism", IF(NOT(P5), "NotHighSeverity", IF(NOT(Y5), "NoValidatedMechanism", IF(Z5, "SpuriousFlag", "Undetermined"))))</f>
        <v>SpuriousFlag</v>
      </c>
      <c r="AK5" s="3" t="b">
        <f>IF(Q5, TRUE(), FALSE())</f>
        <v>0</v>
      </c>
      <c r="AL5" s="3" t="str">
        <f>IF(AK5, "EffectiveOnConfirmedMechanism", IF(Y5, "NoEffectiveTreatmentOnMechanism", "NoConfirmedMechanism"))</f>
        <v>NoEffectiveTreatmentOnMechanism</v>
      </c>
      <c r="AM5" s="3" t="b">
        <f>IF(AND(AE5, AA5, AC5, R5 &gt; 0), TRUE(), FALSE())</f>
        <v>0</v>
      </c>
      <c r="AN5" s="3" t="str">
        <f>IF(AND(AE5,AA5,AC5,R5&gt;0),"Actionable",IF(OR(NOT(Y5),NOT(AA5)),"NotActionable",IF(N5,"NotActionable",IF(X5&lt;0.7,"NotActionable",IF(NOT(AC5),"NotActionable","Actionable")))))</f>
        <v>NotActionable</v>
      </c>
      <c r="AO5" s="3" t="str">
        <f>IF(AM5,"AllGatesPass",IF(NOT(Y5),"NoValidatedMechanism",IF(N5,"CrypticRelatedness",IF(X5&lt;0.7,"Calibration",IF(NOT(AC5),"AncestryTransport","Undetermined")))))</f>
        <v>CrypticRelatedness</v>
      </c>
      <c r="AP5" s="2"/>
      <c r="AQ5" s="3" t="str">
        <f>INDEX(Individuals!AX2:AX999, MATCH(C5,Individuals!A2:A999, 0))</f>
        <v>B-cell/autoantibody</v>
      </c>
      <c r="AR5" s="3" t="str">
        <f>INDEX(Individuals!AS2:AS999, MATCH(C5,Individuals!A2:A999, 0))</f>
        <v>BiopsyIndicated</v>
      </c>
      <c r="AS5" s="3" t="b">
        <f>INDEX(Individuals!AV2:AV999, MATCH(C5,Individuals!A2:A999, 0))</f>
        <v>1</v>
      </c>
      <c r="AT5" s="3" t="str">
        <f>IF(NOT(Y5),"No targeted line — mechanism unconfirmed",IF(OR(AR5="RenalFlareRisk",AR5="BiopsyIndicated"),"Mycophenolate (induction)",IF(AQ5="type-I-IFN","Anifrolumab",IF(AQ5="B-cell/autoantibody","Belimumab",IF(AQ5="IL-17/23","Secukinumab","Standard-of-care (no mechanism-matched targeted line)")))))</f>
        <v>Mycophenolate (induction)</v>
      </c>
      <c r="AU5" s="3" t="str">
        <f>IF(NOT(Y5),"MechanismUnconfirmed",IF(OR(AR5="RenalFlareRisk",AR5="BiopsyIndicated"),"ActiveNephritis-Induction",IF(AQ5="type-I-IFN","IFNSignature-Anifrolumab",IF(AQ5="B-cell/autoantibody","AutoantibodyDriven-Belimumab",IF(AQ5="IL-17/23","IL17Axis-Secukinumab","NoMechanismMatch")))))</f>
        <v>ActiveNephritis-Induction</v>
      </c>
      <c r="AV5" s="3" t="b">
        <f>IF(AND(AS5,NOT(AM5)),TRUE(),FALSE())</f>
        <v>1</v>
      </c>
    </row>
    <row r="6">
      <c r="A6" s="2" t="s">
        <v>639</v>
      </c>
      <c r="B6" s="2" t="s">
        <v>639</v>
      </c>
      <c r="C6" s="2" t="s">
        <v>163</v>
      </c>
      <c r="D6" s="2" t="s">
        <v>13</v>
      </c>
      <c r="E6" s="2" t="s">
        <v>635</v>
      </c>
      <c r="F6" s="3" t="str">
        <f>B6</f>
        <v>pred-e</v>
      </c>
      <c r="G6" s="3" t="str">
        <f>INDEX(Individuals!L2:L999, MATCH(C6,Individuals!A2:A999, 0))</f>
        <v>/intake/new-patient/mensah-esi</v>
      </c>
      <c r="H6" s="3" t="str">
        <f>G6 &amp; "/predictions/" &amp; A6</f>
        <v>/intake/new-patient/mensah-esi/predictions/pred-e</v>
      </c>
      <c r="I6" s="3" t="str">
        <f>INDEX(Individuals!D2:D999, MATCH(C6,Individuals!A2:A999, 0))</f>
        <v>African</v>
      </c>
      <c r="J6" s="3" t="b">
        <f>INDEX(Individuals!F2:F999, MATCH(C6,Individuals!A2:A999, 0))</f>
        <v>0</v>
      </c>
      <c r="K6" s="3">
        <f>IF(C6 = "", 0, INDEX(Individuals!V2:V999, MATCH(C6,Individuals!A2:A999, 0)))</f>
        <v>0</v>
      </c>
      <c r="L6" s="4">
        <f>IF(C6 = "", 0, INDEX(Individuals!U2:U999, MATCH(C6,Individuals!A2:A999, 0)))</f>
        <v>0</v>
      </c>
      <c r="M6" s="4">
        <f>IF(C6 = "", 0, INDEX(Individuals!W2:W999, MATCH(C6,Individuals!A2:A999, 0)))</f>
        <v>0</v>
      </c>
      <c r="N6" s="3" t="b">
        <f>IF(C6 = "", FALSE(), INDEX(Individuals!I2:I999, MATCH(C6,Individuals!A2:A999, 0)))</f>
        <v>0</v>
      </c>
      <c r="O6" s="3">
        <f>IF(C6 = "", 0, INDEX(Individuals!X2:X999, MATCH(C6,Individuals!A2:A999, 0)))</f>
        <v>3</v>
      </c>
      <c r="P6" s="3" t="b">
        <f>IF(C6 = "", FALSE(), INDEX(Individuals!Z2:Z999, MATCH(C6,Individuals!A2:A999, 0)))</f>
        <v>0</v>
      </c>
      <c r="Q6" s="3" t="b">
        <f>IF(C6 = "", FALSE(), INDEX(Individuals!AB2:AB999, MATCH(C6,Individuals!A2:A999, 0)))</f>
        <v>0</v>
      </c>
      <c r="R6" s="3">
        <f>IF(((2 * K6) + (1.5 * L6)) &gt; 10, 10, (2 * K6) + (1.5 * L6))</f>
        <v>0</v>
      </c>
      <c r="S6" s="4">
        <f>COUNTIFS(CalibrationBins!C2:C999, A6)</f>
        <v>5</v>
      </c>
      <c r="T6" s="4">
        <f>COUNTIFS(CalibrationBins!C2:C999, A6,CalibrationBins!K2:K999, TRUE())</f>
        <v>5</v>
      </c>
      <c r="U6" s="3">
        <f>SUMIFS(CalibrationBins!J2:J999,CalibrationBins!C2:C999, A6)</f>
        <v>0.06</v>
      </c>
      <c r="V6" s="3">
        <f>IF(S6 &gt; 0, U6 / S6, 1)</f>
        <v>0.012</v>
      </c>
      <c r="W6" s="3">
        <f>IF(S6 &gt; 0, T6 / S6, 0)</f>
        <v>1</v>
      </c>
      <c r="X6" s="3">
        <f>IF((1 - V6) &lt; 0, 0, (1 - V6)) * W6</f>
        <v>0.988</v>
      </c>
      <c r="Y6" s="3" t="b">
        <f>IF(L6 &gt;= 1, TRUE(), FALSE())</f>
        <v>0</v>
      </c>
      <c r="Z6" s="3" t="b">
        <f>IF(OR(NOT(Y6), N6), TRUE(), FALSE())</f>
        <v>1</v>
      </c>
      <c r="AA6" s="3" t="b">
        <f>IF(L6 &gt;= 1, TRUE(), FALSE())</f>
        <v>0</v>
      </c>
      <c r="AB6" s="3" t="b">
        <f>IF(AND(J6, M6 &gt;= 1, NOT(Z6)), TRUE(), FALSE())</f>
        <v>0</v>
      </c>
      <c r="AC6" s="3" t="b">
        <f>IF(J6, AB6, TRUE())</f>
        <v>1</v>
      </c>
      <c r="AD6" s="3" t="str">
        <f>IF(NOT(J6), "NotApplicable", IF(AB6, "PASS-tested", "FAIL"))</f>
        <v>NotApplicable</v>
      </c>
      <c r="AE6" s="3" t="b">
        <f>IF(AND(X6 &gt;= 0.7, NOT(Z6)), TRUE(), FALSE())</f>
        <v>0</v>
      </c>
      <c r="AF6" s="3" t="str">
        <f>IF(R6 &gt;= 7, "High-Risk Pathway", IF(R6 &gt;= 4, "Moderate-Risk Pathway", "Low-Risk Pathway"))</f>
        <v>Low-Risk Pathway</v>
      </c>
      <c r="AG6" s="3">
        <f>O6</f>
        <v>3</v>
      </c>
      <c r="AH6" s="3" t="str">
        <f>IF(AG6 &gt; 7, "Severe", IF(AG6 &gt;= 4, "Moderate", "Mild"))</f>
        <v>Mild</v>
      </c>
      <c r="AI6" s="3" t="b">
        <f>IF(AND(P6, Y6, NOT(Z6)), TRUE(), FALSE())</f>
        <v>0</v>
      </c>
      <c r="AJ6" s="3" t="str">
        <f>IF(AI6, "HighSeverityOnConfirmedMechanism", IF(NOT(P6), "NotHighSeverity", IF(NOT(Y6), "NoValidatedMechanism", IF(Z6, "SpuriousFlag", "Undetermined"))))</f>
        <v>NotHighSeverity</v>
      </c>
      <c r="AK6" s="3" t="b">
        <f>IF(Q6, TRUE(), FALSE())</f>
        <v>0</v>
      </c>
      <c r="AL6" s="3" t="str">
        <f>IF(AK6, "EffectiveOnConfirmedMechanism", IF(Y6, "NoEffectiveTreatmentOnMechanism", "NoConfirmedMechanism"))</f>
        <v>NoConfirmedMechanism</v>
      </c>
      <c r="AM6" s="3" t="b">
        <f>IF(AND(AE6, AA6, AC6, R6 &gt; 0), TRUE(), FALSE())</f>
        <v>0</v>
      </c>
      <c r="AN6" s="3" t="str">
        <f>IF(AND(AE6,AA6,AC6,R6&gt;0),"Actionable",IF(OR(NOT(Y6),NOT(AA6)),"NotActionable",IF(N6,"NotActionable",IF(X6&lt;0.7,"NotActionable",IF(NOT(AC6),"NotActionable","Actionable")))))</f>
        <v>NotActionable</v>
      </c>
      <c r="AO6" s="3" t="str">
        <f>IF(AM6,"AllGatesPass",IF(NOT(Y6),"NoValidatedMechanism",IF(N6,"CrypticRelatedness",IF(X6&lt;0.7,"Calibration",IF(NOT(AC6),"AncestryTransport","Undetermined")))))</f>
        <v>NoValidatedMechanism</v>
      </c>
      <c r="AP6" s="2"/>
      <c r="AQ6" s="3" t="str">
        <f>INDEX(Individuals!AX2:AX999, MATCH(C6,Individuals!A2:A999, 0))</f>
        <v>T-cell-costim</v>
      </c>
      <c r="AR6" s="3" t="str">
        <f>INDEX(Individuals!AS2:AS999, MATCH(C6,Individuals!A2:A999, 0))</f>
        <v>PresymptomaticAutoimmunity</v>
      </c>
      <c r="AS6" s="3" t="b">
        <f>INDEX(Individuals!AV2:AV999, MATCH(C6,Individuals!A2:A999, 0))</f>
        <v>0</v>
      </c>
      <c r="AT6" s="3" t="str">
        <f>IF(NOT(Y6),"No targeted line — mechanism unconfirmed",IF(OR(AR6="RenalFlareRisk",AR6="BiopsyIndicated"),"Mycophenolate (induction)",IF(AQ6="type-I-IFN","Anifrolumab",IF(AQ6="B-cell/autoantibody","Belimumab",IF(AQ6="IL-17/23","Secukinumab","Standard-of-care (no mechanism-matched targeted line)")))))</f>
        <v>No targeted line — mechanism unconfirmed</v>
      </c>
      <c r="AU6" s="3" t="str">
        <f>IF(NOT(Y6),"MechanismUnconfirmed",IF(OR(AR6="RenalFlareRisk",AR6="BiopsyIndicated"),"ActiveNephritis-Induction",IF(AQ6="type-I-IFN","IFNSignature-Anifrolumab",IF(AQ6="B-cell/autoantibody","AutoantibodyDriven-Belimumab",IF(AQ6="IL-17/23","IL17Axis-Secukinumab","NoMechanismMatch")))))</f>
        <v>MechanismUnconfirmed</v>
      </c>
      <c r="AV6" s="3" t="b">
        <f>IF(AND(AS6,NOT(AM6)),TRUE(),FALSE())</f>
        <v>0</v>
      </c>
    </row>
    <row r="7">
      <c r="A7" s="2" t="s">
        <v>640</v>
      </c>
      <c r="B7" s="2" t="s">
        <v>640</v>
      </c>
      <c r="C7" s="2" t="s">
        <v>168</v>
      </c>
      <c r="D7" s="2" t="s">
        <v>17</v>
      </c>
      <c r="E7" s="2" t="s">
        <v>635</v>
      </c>
      <c r="F7" s="3" t="str">
        <f>B7</f>
        <v>pred-f</v>
      </c>
      <c r="G7" s="3" t="str">
        <f>INDEX(Individuals!L2:L999, MATCH(C7,Individuals!A2:A999, 0))</f>
        <v>/intake/new-patient/haidar-faisal</v>
      </c>
      <c r="H7" s="3" t="str">
        <f>G7 &amp; "/predictions/" &amp; A7</f>
        <v>/intake/new-patient/haidar-faisal/predictions/pred-f</v>
      </c>
      <c r="I7" s="3" t="str">
        <f>INDEX(Individuals!D2:D999, MATCH(C7,Individuals!A2:A999, 0))</f>
        <v>Indigenous American</v>
      </c>
      <c r="J7" s="3" t="b">
        <f>INDEX(Individuals!F2:F999, MATCH(C7,Individuals!A2:A999, 0))</f>
        <v>1</v>
      </c>
      <c r="K7" s="3">
        <f>IF(C7 = "", 0, INDEX(Individuals!V2:V999, MATCH(C7,Individuals!A2:A999, 0)))</f>
        <v>0.8583333333333332</v>
      </c>
      <c r="L7" s="4">
        <f>IF(C7 = "", 0, INDEX(Individuals!U2:U999, MATCH(C7,Individuals!A2:A999, 0)))</f>
        <v>1</v>
      </c>
      <c r="M7" s="4">
        <f>IF(C7 = "", 0, INDEX(Individuals!W2:W999, MATCH(C7,Individuals!A2:A999, 0)))</f>
        <v>0</v>
      </c>
      <c r="N7" s="3" t="b">
        <f>IF(C7 = "", FALSE(), INDEX(Individuals!I2:I999, MATCH(C7,Individuals!A2:A999, 0)))</f>
        <v>0</v>
      </c>
      <c r="O7" s="3">
        <f>IF(C7 = "", 0, INDEX(Individuals!X2:X999, MATCH(C7,Individuals!A2:A999, 0)))</f>
        <v>2</v>
      </c>
      <c r="P7" s="3" t="b">
        <f>IF(C7 = "", FALSE(), INDEX(Individuals!Z2:Z999, MATCH(C7,Individuals!A2:A999, 0)))</f>
        <v>0</v>
      </c>
      <c r="Q7" s="3" t="b">
        <f>IF(C7 = "", FALSE(), INDEX(Individuals!AB2:AB999, MATCH(C7,Individuals!A2:A999, 0)))</f>
        <v>0</v>
      </c>
      <c r="R7" s="3">
        <f>IF(((2 * K7) + (1.5 * L7)) &gt; 10, 10, (2 * K7) + (1.5 * L7))</f>
        <v>3.2166666666666663</v>
      </c>
      <c r="S7" s="4">
        <f>COUNTIFS(CalibrationBins!C2:C999, A7)</f>
        <v>5</v>
      </c>
      <c r="T7" s="4">
        <f>COUNTIFS(CalibrationBins!C2:C999, A7,CalibrationBins!K2:K999, TRUE())</f>
        <v>5</v>
      </c>
      <c r="U7" s="3">
        <f>SUMIFS(CalibrationBins!J2:J999,CalibrationBins!C2:C999, A7)</f>
        <v>0.07000000000000003</v>
      </c>
      <c r="V7" s="3">
        <f>IF(S7 &gt; 0, U7 / S7, 1)</f>
        <v>0.014000000000000007</v>
      </c>
      <c r="W7" s="3">
        <f>IF(S7 &gt; 0, T7 / S7, 0)</f>
        <v>1</v>
      </c>
      <c r="X7" s="3">
        <f>IF((1 - V7) &lt; 0, 0, (1 - V7)) * W7</f>
        <v>0.986</v>
      </c>
      <c r="Y7" s="3" t="b">
        <f>IF(L7 &gt;= 1, TRUE(), FALSE())</f>
        <v>1</v>
      </c>
      <c r="Z7" s="3" t="b">
        <f>IF(OR(NOT(Y7), N7), TRUE(), FALSE())</f>
        <v>0</v>
      </c>
      <c r="AA7" s="3" t="b">
        <f>IF(L7 &gt;= 1, TRUE(), FALSE())</f>
        <v>1</v>
      </c>
      <c r="AB7" s="3" t="b">
        <f>IF(AND(J7, M7 &gt;= 1, NOT(Z7)), TRUE(), FALSE())</f>
        <v>0</v>
      </c>
      <c r="AC7" s="3" t="b">
        <f>IF(J7, AB7, TRUE())</f>
        <v>0</v>
      </c>
      <c r="AD7" s="3" t="str">
        <f>IF(NOT(J7), "NotApplicable", IF(AB7, "PASS-tested", "FAIL"))</f>
        <v>FAIL</v>
      </c>
      <c r="AE7" s="3" t="b">
        <f>IF(AND(X7 &gt;= 0.7, NOT(Z7)), TRUE(), FALSE())</f>
        <v>1</v>
      </c>
      <c r="AF7" s="3" t="str">
        <f>IF(R7 &gt;= 7, "High-Risk Pathway", IF(R7 &gt;= 4, "Moderate-Risk Pathway", "Low-Risk Pathway"))</f>
        <v>Low-Risk Pathway</v>
      </c>
      <c r="AG7" s="3">
        <f>O7</f>
        <v>2</v>
      </c>
      <c r="AH7" s="3" t="str">
        <f>IF(AG7 &gt; 7, "Severe", IF(AG7 &gt;= 4, "Moderate", "Mild"))</f>
        <v>Mild</v>
      </c>
      <c r="AI7" s="3" t="b">
        <f>IF(AND(P7, Y7, NOT(Z7)), TRUE(), FALSE())</f>
        <v>0</v>
      </c>
      <c r="AJ7" s="3" t="str">
        <f>IF(AI7, "HighSeverityOnConfirmedMechanism", IF(NOT(P7), "NotHighSeverity", IF(NOT(Y7), "NoValidatedMechanism", IF(Z7, "SpuriousFlag", "Undetermined"))))</f>
        <v>NotHighSeverity</v>
      </c>
      <c r="AK7" s="3" t="b">
        <f>IF(Q7, TRUE(), FALSE())</f>
        <v>0</v>
      </c>
      <c r="AL7" s="3" t="str">
        <f>IF(AK7, "EffectiveOnConfirmedMechanism", IF(Y7, "NoEffectiveTreatmentOnMechanism", "NoConfirmedMechanism"))</f>
        <v>NoEffectiveTreatmentOnMechanism</v>
      </c>
      <c r="AM7" s="3" t="b">
        <f>IF(AND(AE7, AA7, AC7, R7 &gt; 0), TRUE(), FALSE())</f>
        <v>0</v>
      </c>
      <c r="AN7" s="3" t="str">
        <f>IF(AND(AE7,AA7,AC7,R7&gt;0),"Actionable",IF(OR(NOT(Y7),NOT(AA7)),"NotActionable",IF(N7,"NotActionable",IF(X7&lt;0.7,"NotActionable",IF(NOT(AC7),"NotActionable","Actionable")))))</f>
        <v>NotActionable</v>
      </c>
      <c r="AO7" s="3" t="str">
        <f>IF(AM7,"AllGatesPass",IF(NOT(Y7),"NoValidatedMechanism",IF(N7,"CrypticRelatedness",IF(X7&lt;0.7,"Calibration",IF(NOT(AC7),"AncestryTransport","Undetermined")))))</f>
        <v>AncestryTransport</v>
      </c>
      <c r="AP7" s="2"/>
      <c r="AQ7" s="3" t="str">
        <f>INDEX(Individuals!AX2:AX999, MATCH(C7,Individuals!A2:A999, 0))</f>
        <v>IL-17/23</v>
      </c>
      <c r="AR7" s="3" t="str">
        <f>INDEX(Individuals!AS2:AS999, MATCH(C7,Individuals!A2:A999, 0))</f>
        <v>PresymptomaticAutoimmunity</v>
      </c>
      <c r="AS7" s="3" t="b">
        <f>INDEX(Individuals!AV2:AV999, MATCH(C7,Individuals!A2:A999, 0))</f>
        <v>0</v>
      </c>
      <c r="AT7" s="3" t="str">
        <f>IF(NOT(Y7),"No targeted line — mechanism unconfirmed",IF(OR(AR7="RenalFlareRisk",AR7="BiopsyIndicated"),"Mycophenolate (induction)",IF(AQ7="type-I-IFN","Anifrolumab",IF(AQ7="B-cell/autoantibody","Belimumab",IF(AQ7="IL-17/23","Secukinumab","Standard-of-care (no mechanism-matched targeted line)")))))</f>
        <v>Secukinumab</v>
      </c>
      <c r="AU7" s="3" t="str">
        <f>IF(NOT(Y7),"MechanismUnconfirmed",IF(OR(AR7="RenalFlareRisk",AR7="BiopsyIndicated"),"ActiveNephritis-Induction",IF(AQ7="type-I-IFN","IFNSignature-Anifrolumab",IF(AQ7="B-cell/autoantibody","AutoantibodyDriven-Belimumab",IF(AQ7="IL-17/23","IL17Axis-Secukinumab","NoMechanismMatch")))))</f>
        <v>IL17Axis-Secukinumab</v>
      </c>
      <c r="AV7" s="3" t="b">
        <f>IF(AND(AS7,NOT(AM7)),TRUE(),FALSE())</f>
        <v>0</v>
      </c>
    </row>
    <row r="8">
      <c r="A8" s="2" t="s">
        <v>641</v>
      </c>
      <c r="B8" s="2" t="s">
        <v>641</v>
      </c>
      <c r="C8" s="2" t="s">
        <v>173</v>
      </c>
      <c r="D8" s="2" t="s">
        <v>17</v>
      </c>
      <c r="E8" s="2" t="s">
        <v>635</v>
      </c>
      <c r="F8" s="3" t="str">
        <f>B8</f>
        <v>pred-g</v>
      </c>
      <c r="G8" s="3" t="str">
        <f>INDEX(Individuals!L2:L999, MATCH(C8,Individuals!A2:A999, 0))</f>
        <v>/intake/new-patient/lin-grace</v>
      </c>
      <c r="H8" s="3" t="str">
        <f>G8 &amp; "/predictions/" &amp; A8</f>
        <v>/intake/new-patient/lin-grace/predictions/pred-g</v>
      </c>
      <c r="I8" s="3" t="str">
        <f>INDEX(Individuals!D2:D999, MATCH(C8,Individuals!A2:A999, 0))</f>
        <v>Indigenous American</v>
      </c>
      <c r="J8" s="3" t="b">
        <f>INDEX(Individuals!F2:F999, MATCH(C8,Individuals!A2:A999, 0))</f>
        <v>1</v>
      </c>
      <c r="K8" s="3">
        <f>IF(C8 = "", 0, INDEX(Individuals!V2:V999, MATCH(C8,Individuals!A2:A999, 0)))</f>
        <v>0.8583333333333332</v>
      </c>
      <c r="L8" s="4">
        <f>IF(C8 = "", 0, INDEX(Individuals!U2:U999, MATCH(C8,Individuals!A2:A999, 0)))</f>
        <v>1</v>
      </c>
      <c r="M8" s="4">
        <f>IF(C8 = "", 0, INDEX(Individuals!W2:W999, MATCH(C8,Individuals!A2:A999, 0)))</f>
        <v>1</v>
      </c>
      <c r="N8" s="3" t="b">
        <f>IF(C8 = "", FALSE(), INDEX(Individuals!I2:I999, MATCH(C8,Individuals!A2:A999, 0)))</f>
        <v>0</v>
      </c>
      <c r="O8" s="3">
        <f>IF(C8 = "", 0, INDEX(Individuals!X2:X999, MATCH(C8,Individuals!A2:A999, 0)))</f>
        <v>6</v>
      </c>
      <c r="P8" s="3" t="b">
        <f>IF(C8 = "", FALSE(), INDEX(Individuals!Z2:Z999, MATCH(C8,Individuals!A2:A999, 0)))</f>
        <v>0</v>
      </c>
      <c r="Q8" s="3" t="b">
        <f>IF(C8 = "", FALSE(), INDEX(Individuals!AB2:AB999, MATCH(C8,Individuals!A2:A999, 0)))</f>
        <v>1</v>
      </c>
      <c r="R8" s="3">
        <f>IF(((2 * K8) + (1.5 * L8)) &gt; 10, 10, (2 * K8) + (1.5 * L8))</f>
        <v>3.2166666666666663</v>
      </c>
      <c r="S8" s="4">
        <f>COUNTIFS(CalibrationBins!C2:C999, A8)</f>
        <v>5</v>
      </c>
      <c r="T8" s="4">
        <f>COUNTIFS(CalibrationBins!C2:C999, A8,CalibrationBins!K2:K999, TRUE())</f>
        <v>5</v>
      </c>
      <c r="U8" s="3">
        <f>SUMIFS(CalibrationBins!J2:J999,CalibrationBins!C2:C999, A8)</f>
        <v>0.07999999999999996</v>
      </c>
      <c r="V8" s="3">
        <f>IF(S8 &gt; 0, U8 / S8, 1)</f>
        <v>0.015999999999999993</v>
      </c>
      <c r="W8" s="3">
        <f>IF(S8 &gt; 0, T8 / S8, 0)</f>
        <v>1</v>
      </c>
      <c r="X8" s="3">
        <f>IF((1 - V8) &lt; 0, 0, (1 - V8)) * W8</f>
        <v>0.984</v>
      </c>
      <c r="Y8" s="3" t="b">
        <f>IF(L8 &gt;= 1, TRUE(), FALSE())</f>
        <v>1</v>
      </c>
      <c r="Z8" s="3" t="b">
        <f>IF(OR(NOT(Y8), N8), TRUE(), FALSE())</f>
        <v>0</v>
      </c>
      <c r="AA8" s="3" t="b">
        <f>IF(L8 &gt;= 1, TRUE(), FALSE())</f>
        <v>1</v>
      </c>
      <c r="AB8" s="3" t="b">
        <f>IF(AND(J8, M8 &gt;= 1, NOT(Z8)), TRUE(), FALSE())</f>
        <v>1</v>
      </c>
      <c r="AC8" s="3" t="b">
        <f>IF(J8, AB8, TRUE())</f>
        <v>1</v>
      </c>
      <c r="AD8" s="3" t="str">
        <f>IF(NOT(J8), "NotApplicable", IF(AB8, "PASS-tested", "FAIL"))</f>
        <v>PASS-tested</v>
      </c>
      <c r="AE8" s="3" t="b">
        <f>IF(AND(X8 &gt;= 0.7, NOT(Z8)), TRUE(), FALSE())</f>
        <v>1</v>
      </c>
      <c r="AF8" s="3" t="str">
        <f>IF(R8 &gt;= 7, "High-Risk Pathway", IF(R8 &gt;= 4, "Moderate-Risk Pathway", "Low-Risk Pathway"))</f>
        <v>Low-Risk Pathway</v>
      </c>
      <c r="AG8" s="3">
        <f>O8</f>
        <v>6</v>
      </c>
      <c r="AH8" s="3" t="str">
        <f>IF(AG8 &gt; 7, "Severe", IF(AG8 &gt;= 4, "Moderate", "Mild"))</f>
        <v>Moderate</v>
      </c>
      <c r="AI8" s="3" t="b">
        <f>IF(AND(P8, Y8, NOT(Z8)), TRUE(), FALSE())</f>
        <v>0</v>
      </c>
      <c r="AJ8" s="3" t="str">
        <f>IF(AI8, "HighSeverityOnConfirmedMechanism", IF(NOT(P8), "NotHighSeverity", IF(NOT(Y8), "NoValidatedMechanism", IF(Z8, "SpuriousFlag", "Undetermined"))))</f>
        <v>NotHighSeverity</v>
      </c>
      <c r="AK8" s="3" t="b">
        <f>IF(Q8, TRUE(), FALSE())</f>
        <v>1</v>
      </c>
      <c r="AL8" s="3" t="str">
        <f>IF(AK8, "EffectiveOnConfirmedMechanism", IF(Y8, "NoEffectiveTreatmentOnMechanism", "NoConfirmedMechanism"))</f>
        <v>EffectiveOnConfirmedMechanism</v>
      </c>
      <c r="AM8" s="3" t="b">
        <f>IF(AND(AE8, AA8, AC8, R8 &gt; 0), TRUE(), FALSE())</f>
        <v>1</v>
      </c>
      <c r="AN8" s="3" t="str">
        <f>IF(AND(AE8,AA8,AC8,R8&gt;0),"Actionable",IF(OR(NOT(Y8),NOT(AA8)),"NotActionable",IF(N8,"NotActionable",IF(X8&lt;0.7,"NotActionable",IF(NOT(AC8),"NotActionable","Actionable")))))</f>
        <v>Actionable</v>
      </c>
      <c r="AO8" s="3" t="str">
        <f>IF(AM8,"AllGatesPass",IF(NOT(Y8),"NoValidatedMechanism",IF(N8,"CrypticRelatedness",IF(X8&lt;0.7,"Calibration",IF(NOT(AC8),"AncestryTransport","Undetermined")))))</f>
        <v>AllGatesPass</v>
      </c>
      <c r="AP8" s="2"/>
      <c r="AQ8" s="3" t="str">
        <f>INDEX(Individuals!AX2:AX999, MATCH(C8,Individuals!A2:A999, 0))</f>
        <v>IL-17/23</v>
      </c>
      <c r="AR8" s="3" t="str">
        <f>INDEX(Individuals!AS2:AS999, MATCH(C8,Individuals!A2:A999, 0))</f>
        <v>PresymptomaticAutoimmunity</v>
      </c>
      <c r="AS8" s="3" t="b">
        <f>INDEX(Individuals!AV2:AV999, MATCH(C8,Individuals!A2:A999, 0))</f>
        <v>0</v>
      </c>
      <c r="AT8" s="3" t="str">
        <f>IF(NOT(Y8),"No targeted line — mechanism unconfirmed",IF(OR(AR8="RenalFlareRisk",AR8="BiopsyIndicated"),"Mycophenolate (induction)",IF(AQ8="type-I-IFN","Anifrolumab",IF(AQ8="B-cell/autoantibody","Belimumab",IF(AQ8="IL-17/23","Secukinumab","Standard-of-care (no mechanism-matched targeted line)")))))</f>
        <v>Secukinumab</v>
      </c>
      <c r="AU8" s="3" t="str">
        <f>IF(NOT(Y8),"MechanismUnconfirmed",IF(OR(AR8="RenalFlareRisk",AR8="BiopsyIndicated"),"ActiveNephritis-Induction",IF(AQ8="type-I-IFN","IFNSignature-Anifrolumab",IF(AQ8="B-cell/autoantibody","AutoantibodyDriven-Belimumab",IF(AQ8="IL-17/23","IL17Axis-Secukinumab","NoMechanismMatch")))))</f>
        <v>IL17Axis-Secukinumab</v>
      </c>
      <c r="AV8" s="3" t="b">
        <f>IF(AND(AS8,NOT(AM8)),TRUE(),FALSE())</f>
        <v>0</v>
      </c>
    </row>
    <row r="9">
      <c r="A9" s="2" t="s">
        <v>642</v>
      </c>
      <c r="B9" s="2" t="s">
        <v>642</v>
      </c>
      <c r="C9" s="2" t="s">
        <v>177</v>
      </c>
      <c r="D9" s="2" t="s">
        <v>13</v>
      </c>
      <c r="E9" s="2" t="s">
        <v>635</v>
      </c>
      <c r="F9" s="3" t="str">
        <f>B9</f>
        <v>pred-h</v>
      </c>
      <c r="G9" s="3" t="str">
        <f>INDEX(Individuals!L2:L999, MATCH(C9,Individuals!A2:A999, 0))</f>
        <v>/intake/new-patient/yamamoto-hana</v>
      </c>
      <c r="H9" s="3" t="str">
        <f>G9 &amp; "/predictions/" &amp; A9</f>
        <v>/intake/new-patient/yamamoto-hana/predictions/pred-h</v>
      </c>
      <c r="I9" s="3" t="str">
        <f>INDEX(Individuals!D2:D999, MATCH(C9,Individuals!A2:A999, 0))</f>
        <v>East Asian</v>
      </c>
      <c r="J9" s="3" t="b">
        <f>INDEX(Individuals!F2:F999, MATCH(C9,Individuals!A2:A999, 0))</f>
        <v>0</v>
      </c>
      <c r="K9" s="3">
        <f>IF(C9 = "", 0, INDEX(Individuals!V2:V999, MATCH(C9,Individuals!A2:A999, 0)))</f>
        <v>0.7583333333333333</v>
      </c>
      <c r="L9" s="4">
        <f>IF(C9 = "", 0, INDEX(Individuals!U2:U999, MATCH(C9,Individuals!A2:A999, 0)))</f>
        <v>1</v>
      </c>
      <c r="M9" s="4">
        <f>IF(C9 = "", 0, INDEX(Individuals!W2:W999, MATCH(C9,Individuals!A2:A999, 0)))</f>
        <v>1</v>
      </c>
      <c r="N9" s="3" t="b">
        <f>IF(C9 = "", FALSE(), INDEX(Individuals!I2:I999, MATCH(C9,Individuals!A2:A999, 0)))</f>
        <v>0</v>
      </c>
      <c r="O9" s="3">
        <f>IF(C9 = "", 0, INDEX(Individuals!X2:X999, MATCH(C9,Individuals!A2:A999, 0)))</f>
        <v>9</v>
      </c>
      <c r="P9" s="3" t="b">
        <f>IF(C9 = "", FALSE(), INDEX(Individuals!Z2:Z999, MATCH(C9,Individuals!A2:A999, 0)))</f>
        <v>1</v>
      </c>
      <c r="Q9" s="3" t="b">
        <f>IF(C9 = "", FALSE(), INDEX(Individuals!AB2:AB999, MATCH(C9,Individuals!A2:A999, 0)))</f>
        <v>1</v>
      </c>
      <c r="R9" s="3">
        <f>IF(((2 * K9) + (1.5 * L9)) &gt; 10, 10, (2 * K9) + (1.5 * L9))</f>
        <v>3.0166666666666666</v>
      </c>
      <c r="S9" s="4">
        <f>COUNTIFS(CalibrationBins!C2:C999, A9)</f>
        <v>5</v>
      </c>
      <c r="T9" s="4">
        <f>COUNTIFS(CalibrationBins!C2:C999, A9,CalibrationBins!K2:K999, TRUE())</f>
        <v>5</v>
      </c>
      <c r="U9" s="3">
        <f>SUMIFS(CalibrationBins!J2:J999,CalibrationBins!C2:C999, A9)</f>
        <v>0.06000000000000005</v>
      </c>
      <c r="V9" s="3">
        <f>IF(S9 &gt; 0, U9 / S9, 1)</f>
        <v>0.01200000000000001</v>
      </c>
      <c r="W9" s="3">
        <f>IF(S9 &gt; 0, T9 / S9, 0)</f>
        <v>1</v>
      </c>
      <c r="X9" s="3">
        <f>IF((1 - V9) &lt; 0, 0, (1 - V9)) * W9</f>
        <v>0.988</v>
      </c>
      <c r="Y9" s="3" t="b">
        <f>IF(L9 &gt;= 1, TRUE(), FALSE())</f>
        <v>1</v>
      </c>
      <c r="Z9" s="3" t="b">
        <f>IF(OR(NOT(Y9), N9), TRUE(), FALSE())</f>
        <v>0</v>
      </c>
      <c r="AA9" s="3" t="b">
        <f>IF(L9 &gt;= 1, TRUE(), FALSE())</f>
        <v>1</v>
      </c>
      <c r="AB9" s="3" t="b">
        <f>IF(AND(J9, M9 &gt;= 1, NOT(Z9)), TRUE(), FALSE())</f>
        <v>0</v>
      </c>
      <c r="AC9" s="3" t="b">
        <f>IF(J9, AB9, TRUE())</f>
        <v>1</v>
      </c>
      <c r="AD9" s="3" t="str">
        <f>IF(NOT(J9), "NotApplicable", IF(AB9, "PASS-tested", "FAIL"))</f>
        <v>NotApplicable</v>
      </c>
      <c r="AE9" s="3" t="b">
        <f>IF(AND(X9 &gt;= 0.7, NOT(Z9)), TRUE(), FALSE())</f>
        <v>1</v>
      </c>
      <c r="AF9" s="3" t="str">
        <f>IF(R9 &gt;= 7, "High-Risk Pathway", IF(R9 &gt;= 4, "Moderate-Risk Pathway", "Low-Risk Pathway"))</f>
        <v>Low-Risk Pathway</v>
      </c>
      <c r="AG9" s="3">
        <f>O9</f>
        <v>9</v>
      </c>
      <c r="AH9" s="3" t="str">
        <f>IF(AG9 &gt; 7, "Severe", IF(AG9 &gt;= 4, "Moderate", "Mild"))</f>
        <v>Severe</v>
      </c>
      <c r="AI9" s="3" t="b">
        <f>IF(AND(P9, Y9, NOT(Z9)), TRUE(), FALSE())</f>
        <v>1</v>
      </c>
      <c r="AJ9" s="3" t="str">
        <f>IF(AI9, "HighSeverityOnConfirmedMechanism", IF(NOT(P9), "NotHighSeverity", IF(NOT(Y9), "NoValidatedMechanism", IF(Z9, "SpuriousFlag", "Undetermined"))))</f>
        <v>HighSeverityOnConfirmedMechanism</v>
      </c>
      <c r="AK9" s="3" t="b">
        <f>IF(Q9, TRUE(), FALSE())</f>
        <v>1</v>
      </c>
      <c r="AL9" s="3" t="str">
        <f>IF(AK9, "EffectiveOnConfirmedMechanism", IF(Y9, "NoEffectiveTreatmentOnMechanism", "NoConfirmedMechanism"))</f>
        <v>EffectiveOnConfirmedMechanism</v>
      </c>
      <c r="AM9" s="3" t="b">
        <f>IF(AND(AE9, AA9, AC9, R9 &gt; 0), TRUE(), FALSE())</f>
        <v>1</v>
      </c>
      <c r="AN9" s="3" t="str">
        <f>IF(AND(AE9,AA9,AC9,R9&gt;0),"Actionable",IF(OR(NOT(Y9),NOT(AA9)),"NotActionable",IF(N9,"NotActionable",IF(X9&lt;0.7,"NotActionable",IF(NOT(AC9),"NotActionable","Actionable")))))</f>
        <v>Actionable</v>
      </c>
      <c r="AO9" s="3" t="str">
        <f>IF(AM9,"AllGatesPass",IF(NOT(Y9),"NoValidatedMechanism",IF(N9,"CrypticRelatedness",IF(X9&lt;0.7,"Calibration",IF(NOT(AC9),"AncestryTransport","Undetermined")))))</f>
        <v>AllGatesPass</v>
      </c>
      <c r="AP9" s="2"/>
      <c r="AQ9" s="3" t="str">
        <f>INDEX(Individuals!AX2:AX999, MATCH(C9,Individuals!A2:A999, 0))</f>
        <v>type-I-IFN</v>
      </c>
      <c r="AR9" s="3" t="str">
        <f>INDEX(Individuals!AS2:AS999, MATCH(C9,Individuals!A2:A999, 0))</f>
        <v>EarlyNephritis</v>
      </c>
      <c r="AS9" s="3" t="b">
        <f>INDEX(Individuals!AV2:AV999, MATCH(C9,Individuals!A2:A999, 0))</f>
        <v>1</v>
      </c>
      <c r="AT9" s="3" t="str">
        <f>IF(NOT(Y9),"No targeted line — mechanism unconfirmed",IF(OR(AR9="RenalFlareRisk",AR9="BiopsyIndicated"),"Mycophenolate (induction)",IF(AQ9="type-I-IFN","Anifrolumab",IF(AQ9="B-cell/autoantibody","Belimumab",IF(AQ9="IL-17/23","Secukinumab","Standard-of-care (no mechanism-matched targeted line)")))))</f>
        <v>Anifrolumab</v>
      </c>
      <c r="AU9" s="3" t="str">
        <f>IF(NOT(Y9),"MechanismUnconfirmed",IF(OR(AR9="RenalFlareRisk",AR9="BiopsyIndicated"),"ActiveNephritis-Induction",IF(AQ9="type-I-IFN","IFNSignature-Anifrolumab",IF(AQ9="B-cell/autoantibody","AutoantibodyDriven-Belimumab",IF(AQ9="IL-17/23","IL17Axis-Secukinumab","NoMechanismMatch")))))</f>
        <v>IFNSignature-Anifrolumab</v>
      </c>
      <c r="AV9" s="3" t="b">
        <f>IF(AND(AS9,NOT(AM9)),TRUE(),FALSE())</f>
        <v>0</v>
      </c>
    </row>
    <row r="10">
      <c r="A10" s="2" t="s">
        <v>643</v>
      </c>
      <c r="B10" s="2" t="s">
        <v>643</v>
      </c>
      <c r="C10" s="2" t="s">
        <v>181</v>
      </c>
      <c r="D10" s="2" t="s">
        <v>13</v>
      </c>
      <c r="E10" s="2" t="s">
        <v>635</v>
      </c>
      <c r="F10" s="3" t="str">
        <f>B10</f>
        <v>pred-i</v>
      </c>
      <c r="G10" s="3" t="str">
        <f>INDEX(Individuals!L2:L999, MATCH(C10,Individuals!A2:A999, 0))</f>
        <v>/intake/new-patient/conteh-ibrahim</v>
      </c>
      <c r="H10" s="3" t="str">
        <f>G10 &amp; "/predictions/" &amp; A10</f>
        <v>/intake/new-patient/conteh-ibrahim/predictions/pred-i</v>
      </c>
      <c r="I10" s="3" t="str">
        <f>INDEX(Individuals!D2:D999, MATCH(C10,Individuals!A2:A999, 0))</f>
        <v>African</v>
      </c>
      <c r="J10" s="3" t="b">
        <f>INDEX(Individuals!F2:F999, MATCH(C10,Individuals!A2:A999, 0))</f>
        <v>0</v>
      </c>
      <c r="K10" s="3">
        <f>IF(C10 = "", 0, INDEX(Individuals!V2:V999, MATCH(C10,Individuals!A2:A999, 0)))</f>
        <v>0.7583333333333333</v>
      </c>
      <c r="L10" s="4">
        <f>IF(C10 = "", 0, INDEX(Individuals!U2:U999, MATCH(C10,Individuals!A2:A999, 0)))</f>
        <v>1</v>
      </c>
      <c r="M10" s="4">
        <f>IF(C10 = "", 0, INDEX(Individuals!W2:W999, MATCH(C10,Individuals!A2:A999, 0)))</f>
        <v>1</v>
      </c>
      <c r="N10" s="3" t="b">
        <f>IF(C10 = "", FALSE(), INDEX(Individuals!I2:I999, MATCH(C10,Individuals!A2:A999, 0)))</f>
        <v>1</v>
      </c>
      <c r="O10" s="3">
        <f>IF(C10 = "", 0, INDEX(Individuals!X2:X999, MATCH(C10,Individuals!A2:A999, 0)))</f>
        <v>8</v>
      </c>
      <c r="P10" s="3" t="b">
        <f>IF(C10 = "", FALSE(), INDEX(Individuals!Z2:Z999, MATCH(C10,Individuals!A2:A999, 0)))</f>
        <v>1</v>
      </c>
      <c r="Q10" s="3" t="b">
        <f>IF(C10 = "", FALSE(), INDEX(Individuals!AB2:AB999, MATCH(C10,Individuals!A2:A999, 0)))</f>
        <v>0</v>
      </c>
      <c r="R10" s="3">
        <f>IF(((2 * K10) + (1.5 * L10)) &gt; 10, 10, (2 * K10) + (1.5 * L10))</f>
        <v>3.0166666666666666</v>
      </c>
      <c r="S10" s="4">
        <f>COUNTIFS(CalibrationBins!C2:C999, A10)</f>
        <v>5</v>
      </c>
      <c r="T10" s="4">
        <f>COUNTIFS(CalibrationBins!C2:C999, A10,CalibrationBins!K2:K999, TRUE())</f>
        <v>5</v>
      </c>
      <c r="U10" s="3">
        <f>SUMIFS(CalibrationBins!J2:J999,CalibrationBins!C2:C999, A10)</f>
        <v>0.06000000000000004</v>
      </c>
      <c r="V10" s="3">
        <f>IF(S10 &gt; 0, U10 / S10, 1)</f>
        <v>0.012000000000000007</v>
      </c>
      <c r="W10" s="3">
        <f>IF(S10 &gt; 0, T10 / S10, 0)</f>
        <v>1</v>
      </c>
      <c r="X10" s="3">
        <f>IF((1 - V10) &lt; 0, 0, (1 - V10)) * W10</f>
        <v>0.988</v>
      </c>
      <c r="Y10" s="3" t="b">
        <f>IF(L10 &gt;= 1, TRUE(), FALSE())</f>
        <v>1</v>
      </c>
      <c r="Z10" s="3" t="b">
        <f>IF(OR(NOT(Y10), N10), TRUE(), FALSE())</f>
        <v>1</v>
      </c>
      <c r="AA10" s="3" t="b">
        <f>IF(L10 &gt;= 1, TRUE(), FALSE())</f>
        <v>1</v>
      </c>
      <c r="AB10" s="3" t="b">
        <f>IF(AND(J10, M10 &gt;= 1, NOT(Z10)), TRUE(), FALSE())</f>
        <v>0</v>
      </c>
      <c r="AC10" s="3" t="b">
        <f>IF(J10, AB10, TRUE())</f>
        <v>1</v>
      </c>
      <c r="AD10" s="3" t="str">
        <f>IF(NOT(J10), "NotApplicable", IF(AB10, "PASS-tested", "FAIL"))</f>
        <v>NotApplicable</v>
      </c>
      <c r="AE10" s="3" t="b">
        <f>IF(AND(X10 &gt;= 0.7, NOT(Z10)), TRUE(), FALSE())</f>
        <v>0</v>
      </c>
      <c r="AF10" s="3" t="str">
        <f>IF(R10 &gt;= 7, "High-Risk Pathway", IF(R10 &gt;= 4, "Moderate-Risk Pathway", "Low-Risk Pathway"))</f>
        <v>Low-Risk Pathway</v>
      </c>
      <c r="AG10" s="3">
        <f>O10</f>
        <v>8</v>
      </c>
      <c r="AH10" s="3" t="str">
        <f>IF(AG10 &gt; 7, "Severe", IF(AG10 &gt;= 4, "Moderate", "Mild"))</f>
        <v>Severe</v>
      </c>
      <c r="AI10" s="3" t="b">
        <f>IF(AND(P10, Y10, NOT(Z10)), TRUE(), FALSE())</f>
        <v>0</v>
      </c>
      <c r="AJ10" s="3" t="str">
        <f>IF(AI10, "HighSeverityOnConfirmedMechanism", IF(NOT(P10), "NotHighSeverity", IF(NOT(Y10), "NoValidatedMechanism", IF(Z10, "SpuriousFlag", "Undetermined"))))</f>
        <v>SpuriousFlag</v>
      </c>
      <c r="AK10" s="3" t="b">
        <f>IF(Q10, TRUE(), FALSE())</f>
        <v>0</v>
      </c>
      <c r="AL10" s="3" t="str">
        <f>IF(AK10, "EffectiveOnConfirmedMechanism", IF(Y10, "NoEffectiveTreatmentOnMechanism", "NoConfirmedMechanism"))</f>
        <v>NoEffectiveTreatmentOnMechanism</v>
      </c>
      <c r="AM10" s="3" t="b">
        <f>IF(AND(AE10, AA10, AC10, R10 &gt; 0), TRUE(), FALSE())</f>
        <v>0</v>
      </c>
      <c r="AN10" s="3" t="str">
        <f>IF(AND(AE10,AA10,AC10,R10&gt;0),"Actionable",IF(OR(NOT(Y10),NOT(AA10)),"NotActionable",IF(N10,"NotActionable",IF(X10&lt;0.7,"NotActionable",IF(NOT(AC10),"NotActionable","Actionable")))))</f>
        <v>NotActionable</v>
      </c>
      <c r="AO10" s="3" t="str">
        <f>IF(AM10,"AllGatesPass",IF(NOT(Y10),"NoValidatedMechanism",IF(N10,"CrypticRelatedness",IF(X10&lt;0.7,"Calibration",IF(NOT(AC10),"AncestryTransport","Undetermined")))))</f>
        <v>CrypticRelatedness</v>
      </c>
      <c r="AP10" s="2"/>
      <c r="AQ10" s="3" t="str">
        <f>INDEX(Individuals!AX2:AX999, MATCH(C10,Individuals!A2:A999, 0))</f>
        <v>B-cell/autoantibody</v>
      </c>
      <c r="AR10" s="3" t="str">
        <f>INDEX(Individuals!AS2:AS999, MATCH(C10,Individuals!A2:A999, 0))</f>
        <v>RenalFlareRisk</v>
      </c>
      <c r="AS10" s="3" t="b">
        <f>INDEX(Individuals!AV2:AV999, MATCH(C10,Individuals!A2:A999, 0))</f>
        <v>1</v>
      </c>
      <c r="AT10" s="3" t="str">
        <f>IF(NOT(Y10),"No targeted line — mechanism unconfirmed",IF(OR(AR10="RenalFlareRisk",AR10="BiopsyIndicated"),"Mycophenolate (induction)",IF(AQ10="type-I-IFN","Anifrolumab",IF(AQ10="B-cell/autoantibody","Belimumab",IF(AQ10="IL-17/23","Secukinumab","Standard-of-care (no mechanism-matched targeted line)")))))</f>
        <v>Mycophenolate (induction)</v>
      </c>
      <c r="AU10" s="3" t="str">
        <f>IF(NOT(Y10),"MechanismUnconfirmed",IF(OR(AR10="RenalFlareRisk",AR10="BiopsyIndicated"),"ActiveNephritis-Induction",IF(AQ10="type-I-IFN","IFNSignature-Anifrolumab",IF(AQ10="B-cell/autoantibody","AutoantibodyDriven-Belimumab",IF(AQ10="IL-17/23","IL17Axis-Secukinumab","NoMechanismMatch")))))</f>
        <v>ActiveNephritis-Induction</v>
      </c>
      <c r="AV10" s="3" t="b">
        <f>IF(AND(AS10,NOT(AM10)),TRUE(),FALSE())</f>
        <v>1</v>
      </c>
    </row>
    <row r="11">
      <c r="A11" s="2" t="s">
        <v>644</v>
      </c>
      <c r="B11" s="2" t="s">
        <v>644</v>
      </c>
      <c r="C11" s="2" t="s">
        <v>185</v>
      </c>
      <c r="D11" s="2" t="s">
        <v>13</v>
      </c>
      <c r="E11" s="2" t="s">
        <v>635</v>
      </c>
      <c r="F11" s="3" t="str">
        <f>B11</f>
        <v>pred-j</v>
      </c>
      <c r="G11" s="3" t="str">
        <f>INDEX(Individuals!L2:L999, MATCH(C11,Individuals!A2:A999, 0))</f>
        <v>/intake/new-patient/brooks-jamal</v>
      </c>
      <c r="H11" s="3" t="str">
        <f>G11 &amp; "/predictions/" &amp; A11</f>
        <v>/intake/new-patient/brooks-jamal/predictions/pred-j</v>
      </c>
      <c r="I11" s="3" t="str">
        <f>INDEX(Individuals!D2:D999, MATCH(C11,Individuals!A2:A999, 0))</f>
        <v>Hispanic/Latino</v>
      </c>
      <c r="J11" s="3" t="b">
        <f>INDEX(Individuals!F2:F999, MATCH(C11,Individuals!A2:A999, 0))</f>
        <v>0</v>
      </c>
      <c r="K11" s="3">
        <f>IF(C11 = "", 0, INDEX(Individuals!V2:V999, MATCH(C11,Individuals!A2:A999, 0)))</f>
        <v>0.7583333333333333</v>
      </c>
      <c r="L11" s="4">
        <f>IF(C11 = "", 0, INDEX(Individuals!U2:U999, MATCH(C11,Individuals!A2:A999, 0)))</f>
        <v>1</v>
      </c>
      <c r="M11" s="4">
        <f>IF(C11 = "", 0, INDEX(Individuals!W2:W999, MATCH(C11,Individuals!A2:A999, 0)))</f>
        <v>1</v>
      </c>
      <c r="N11" s="3" t="b">
        <f>IF(C11 = "", FALSE(), INDEX(Individuals!I2:I999, MATCH(C11,Individuals!A2:A999, 0)))</f>
        <v>0</v>
      </c>
      <c r="O11" s="3">
        <f>IF(C11 = "", 0, INDEX(Individuals!X2:X999, MATCH(C11,Individuals!A2:A999, 0)))</f>
        <v>8</v>
      </c>
      <c r="P11" s="3" t="b">
        <f>IF(C11 = "", FALSE(), INDEX(Individuals!Z2:Z999, MATCH(C11,Individuals!A2:A999, 0)))</f>
        <v>1</v>
      </c>
      <c r="Q11" s="3" t="b">
        <f>IF(C11 = "", FALSE(), INDEX(Individuals!AB2:AB999, MATCH(C11,Individuals!A2:A999, 0)))</f>
        <v>1</v>
      </c>
      <c r="R11" s="3">
        <f>IF(((2 * K11) + (1.5 * L11)) &gt; 10, 10, (2 * K11) + (1.5 * L11))</f>
        <v>3.0166666666666666</v>
      </c>
      <c r="S11" s="4">
        <f>COUNTIFS(CalibrationBins!C2:C999, A11)</f>
        <v>5</v>
      </c>
      <c r="T11" s="4">
        <f>COUNTIFS(CalibrationBins!C2:C999, A11,CalibrationBins!K2:K999, TRUE())</f>
        <v>0</v>
      </c>
      <c r="U11" s="3">
        <f>SUMIFS(CalibrationBins!J2:J999,CalibrationBins!C2:C999, A11)</f>
        <v>0.18000000000000002</v>
      </c>
      <c r="V11" s="3">
        <f>IF(S11 &gt; 0, U11 / S11, 1)</f>
        <v>0.036000000000000004</v>
      </c>
      <c r="W11" s="3">
        <f>IF(S11 &gt; 0, T11 / S11, 0)</f>
        <v>0</v>
      </c>
      <c r="X11" s="3">
        <f>IF((1 - V11) &lt; 0, 0, (1 - V11)) * W11</f>
        <v>0</v>
      </c>
      <c r="Y11" s="3" t="b">
        <f>IF(L11 &gt;= 1, TRUE(), FALSE())</f>
        <v>1</v>
      </c>
      <c r="Z11" s="3" t="b">
        <f>IF(OR(NOT(Y11), N11), TRUE(), FALSE())</f>
        <v>0</v>
      </c>
      <c r="AA11" s="3" t="b">
        <f>IF(L11 &gt;= 1, TRUE(), FALSE())</f>
        <v>1</v>
      </c>
      <c r="AB11" s="3" t="b">
        <f>IF(AND(J11, M11 &gt;= 1, NOT(Z11)), TRUE(), FALSE())</f>
        <v>0</v>
      </c>
      <c r="AC11" s="3" t="b">
        <f>IF(J11, AB11, TRUE())</f>
        <v>1</v>
      </c>
      <c r="AD11" s="3" t="str">
        <f>IF(NOT(J11), "NotApplicable", IF(AB11, "PASS-tested", "FAIL"))</f>
        <v>NotApplicable</v>
      </c>
      <c r="AE11" s="3" t="b">
        <f>IF(AND(X11 &gt;= 0.7, NOT(Z11)), TRUE(), FALSE())</f>
        <v>0</v>
      </c>
      <c r="AF11" s="3" t="str">
        <f>IF(R11 &gt;= 7, "High-Risk Pathway", IF(R11 &gt;= 4, "Moderate-Risk Pathway", "Low-Risk Pathway"))</f>
        <v>Low-Risk Pathway</v>
      </c>
      <c r="AG11" s="3">
        <f>O11</f>
        <v>8</v>
      </c>
      <c r="AH11" s="3" t="str">
        <f>IF(AG11 &gt; 7, "Severe", IF(AG11 &gt;= 4, "Moderate", "Mild"))</f>
        <v>Severe</v>
      </c>
      <c r="AI11" s="3" t="b">
        <f>IF(AND(P11, Y11, NOT(Z11)), TRUE(), FALSE())</f>
        <v>1</v>
      </c>
      <c r="AJ11" s="3" t="str">
        <f>IF(AI11, "HighSeverityOnConfirmedMechanism", IF(NOT(P11), "NotHighSeverity", IF(NOT(Y11), "NoValidatedMechanism", IF(Z11, "SpuriousFlag", "Undetermined"))))</f>
        <v>HighSeverityOnConfirmedMechanism</v>
      </c>
      <c r="AK11" s="3" t="b">
        <f>IF(Q11, TRUE(), FALSE())</f>
        <v>1</v>
      </c>
      <c r="AL11" s="3" t="str">
        <f>IF(AK11, "EffectiveOnConfirmedMechanism", IF(Y11, "NoEffectiveTreatmentOnMechanism", "NoConfirmedMechanism"))</f>
        <v>EffectiveOnConfirmedMechanism</v>
      </c>
      <c r="AM11" s="3" t="b">
        <f>IF(AND(AE11, AA11, AC11, R11 &gt; 0), TRUE(), FALSE())</f>
        <v>0</v>
      </c>
      <c r="AN11" s="3" t="str">
        <f>IF(AND(AE11,AA11,AC11,R11&gt;0),"Actionable",IF(OR(NOT(Y11),NOT(AA11)),"NotActionable",IF(N11,"NotActionable",IF(X11&lt;0.7,"NotActionable",IF(NOT(AC11),"NotActionable","Actionable")))))</f>
        <v>NotActionable</v>
      </c>
      <c r="AO11" s="3" t="str">
        <f>IF(AM11,"AllGatesPass",IF(NOT(Y11),"NoValidatedMechanism",IF(N11,"CrypticRelatedness",IF(X11&lt;0.7,"Calibration",IF(NOT(AC11),"AncestryTransport","Undetermined")))))</f>
        <v>Calibration</v>
      </c>
      <c r="AP11" s="2"/>
      <c r="AQ11" s="3" t="str">
        <f>INDEX(Individuals!AX2:AX999, MATCH(C11,Individuals!A2:A999, 0))</f>
        <v>type-I-IFN</v>
      </c>
      <c r="AR11" s="3" t="str">
        <f>INDEX(Individuals!AS2:AS999, MATCH(C11,Individuals!A2:A999, 0))</f>
        <v>PresymptomaticAutoimmunity</v>
      </c>
      <c r="AS11" s="3" t="b">
        <f>INDEX(Individuals!AV2:AV999, MATCH(C11,Individuals!A2:A999, 0))</f>
        <v>0</v>
      </c>
      <c r="AT11" s="3" t="str">
        <f>IF(NOT(Y11),"No targeted line — mechanism unconfirmed",IF(OR(AR11="RenalFlareRisk",AR11="BiopsyIndicated"),"Mycophenolate (induction)",IF(AQ11="type-I-IFN","Anifrolumab",IF(AQ11="B-cell/autoantibody","Belimumab",IF(AQ11="IL-17/23","Secukinumab","Standard-of-care (no mechanism-matched targeted line)")))))</f>
        <v>Anifrolumab</v>
      </c>
      <c r="AU11" s="3" t="str">
        <f>IF(NOT(Y11),"MechanismUnconfirmed",IF(OR(AR11="RenalFlareRisk",AR11="BiopsyIndicated"),"ActiveNephritis-Induction",IF(AQ11="type-I-IFN","IFNSignature-Anifrolumab",IF(AQ11="B-cell/autoantibody","AutoantibodyDriven-Belimumab",IF(AQ11="IL-17/23","IL17Axis-Secukinumab","NoMechanismMatch")))))</f>
        <v>IFNSignature-Anifrolumab</v>
      </c>
      <c r="AV11" s="3" t="b">
        <f>IF(AND(AS11,NOT(AM11)),TRUE(),FALSE())</f>
        <v>0</v>
      </c>
    </row>
    <row r="12">
      <c r="A12" s="2" t="s">
        <v>645</v>
      </c>
      <c r="B12" s="2" t="s">
        <v>645</v>
      </c>
      <c r="C12" s="2" t="s">
        <v>190</v>
      </c>
      <c r="D12" s="2" t="s">
        <v>17</v>
      </c>
      <c r="E12" s="2" t="s">
        <v>635</v>
      </c>
      <c r="F12" s="3" t="str">
        <f>B12</f>
        <v>pred-k</v>
      </c>
      <c r="G12" s="3" t="str">
        <f>INDEX(Individuals!L2:L999, MATCH(C12,Individuals!A2:A999, 0))</f>
        <v>/intake/new-patient/nair-kavya</v>
      </c>
      <c r="H12" s="3" t="str">
        <f>G12 &amp; "/predictions/" &amp; A12</f>
        <v>/intake/new-patient/nair-kavya/predictions/pred-k</v>
      </c>
      <c r="I12" s="3" t="str">
        <f>INDEX(Individuals!D2:D999, MATCH(C12,Individuals!A2:A999, 0))</f>
        <v>South Asian</v>
      </c>
      <c r="J12" s="3" t="b">
        <f>INDEX(Individuals!F2:F999, MATCH(C12,Individuals!A2:A999, 0))</f>
        <v>1</v>
      </c>
      <c r="K12" s="3">
        <f>IF(C12 = "", 0, INDEX(Individuals!V2:V999, MATCH(C12,Individuals!A2:A999, 0)))</f>
        <v>0.8583333333333332</v>
      </c>
      <c r="L12" s="4">
        <f>IF(C12 = "", 0, INDEX(Individuals!U2:U999, MATCH(C12,Individuals!A2:A999, 0)))</f>
        <v>1</v>
      </c>
      <c r="M12" s="4">
        <f>IF(C12 = "", 0, INDEX(Individuals!W2:W999, MATCH(C12,Individuals!A2:A999, 0)))</f>
        <v>0</v>
      </c>
      <c r="N12" s="3" t="b">
        <f>IF(C12 = "", FALSE(), INDEX(Individuals!I2:I999, MATCH(C12,Individuals!A2:A999, 0)))</f>
        <v>0</v>
      </c>
      <c r="O12" s="3">
        <f>IF(C12 = "", 0, INDEX(Individuals!X2:X999, MATCH(C12,Individuals!A2:A999, 0)))</f>
        <v>2</v>
      </c>
      <c r="P12" s="3" t="b">
        <f>IF(C12 = "", FALSE(), INDEX(Individuals!Z2:Z999, MATCH(C12,Individuals!A2:A999, 0)))</f>
        <v>0</v>
      </c>
      <c r="Q12" s="3" t="b">
        <f>IF(C12 = "", FALSE(), INDEX(Individuals!AB2:AB999, MATCH(C12,Individuals!A2:A999, 0)))</f>
        <v>0</v>
      </c>
      <c r="R12" s="3">
        <f>IF(((2 * K12) + (1.5 * L12)) &gt; 10, 10, (2 * K12) + (1.5 * L12))</f>
        <v>3.2166666666666663</v>
      </c>
      <c r="S12" s="4">
        <f>COUNTIFS(CalibrationBins!C2:C999, A12)</f>
        <v>5</v>
      </c>
      <c r="T12" s="4">
        <f>COUNTIFS(CalibrationBins!C2:C999, A12,CalibrationBins!K2:K999, TRUE())</f>
        <v>5</v>
      </c>
      <c r="U12" s="3">
        <f>SUMIFS(CalibrationBins!J2:J999,CalibrationBins!C2:C999, A12)</f>
        <v>0.07000000000000003</v>
      </c>
      <c r="V12" s="3">
        <f>IF(S12 &gt; 0, U12 / S12, 1)</f>
        <v>0.014000000000000007</v>
      </c>
      <c r="W12" s="3">
        <f>IF(S12 &gt; 0, T12 / S12, 0)</f>
        <v>1</v>
      </c>
      <c r="X12" s="3">
        <f>IF((1 - V12) &lt; 0, 0, (1 - V12)) * W12</f>
        <v>0.986</v>
      </c>
      <c r="Y12" s="3" t="b">
        <f>IF(L12 &gt;= 1, TRUE(), FALSE())</f>
        <v>1</v>
      </c>
      <c r="Z12" s="3" t="b">
        <f>IF(OR(NOT(Y12), N12), TRUE(), FALSE())</f>
        <v>0</v>
      </c>
      <c r="AA12" s="3" t="b">
        <f>IF(L12 &gt;= 1, TRUE(), FALSE())</f>
        <v>1</v>
      </c>
      <c r="AB12" s="3" t="b">
        <f>IF(AND(J12, M12 &gt;= 1, NOT(Z12)), TRUE(), FALSE())</f>
        <v>0</v>
      </c>
      <c r="AC12" s="3" t="b">
        <f>IF(J12, AB12, TRUE())</f>
        <v>0</v>
      </c>
      <c r="AD12" s="3" t="str">
        <f>IF(NOT(J12), "NotApplicable", IF(AB12, "PASS-tested", "FAIL"))</f>
        <v>FAIL</v>
      </c>
      <c r="AE12" s="3" t="b">
        <f>IF(AND(X12 &gt;= 0.7, NOT(Z12)), TRUE(), FALSE())</f>
        <v>1</v>
      </c>
      <c r="AF12" s="3" t="str">
        <f>IF(R12 &gt;= 7, "High-Risk Pathway", IF(R12 &gt;= 4, "Moderate-Risk Pathway", "Low-Risk Pathway"))</f>
        <v>Low-Risk Pathway</v>
      </c>
      <c r="AG12" s="3">
        <f>O12</f>
        <v>2</v>
      </c>
      <c r="AH12" s="3" t="str">
        <f>IF(AG12 &gt; 7, "Severe", IF(AG12 &gt;= 4, "Moderate", "Mild"))</f>
        <v>Mild</v>
      </c>
      <c r="AI12" s="3" t="b">
        <f>IF(AND(P12, Y12, NOT(Z12)), TRUE(), FALSE())</f>
        <v>0</v>
      </c>
      <c r="AJ12" s="3" t="str">
        <f>IF(AI12, "HighSeverityOnConfirmedMechanism", IF(NOT(P12), "NotHighSeverity", IF(NOT(Y12), "NoValidatedMechanism", IF(Z12, "SpuriousFlag", "Undetermined"))))</f>
        <v>NotHighSeverity</v>
      </c>
      <c r="AK12" s="3" t="b">
        <f>IF(Q12, TRUE(), FALSE())</f>
        <v>0</v>
      </c>
      <c r="AL12" s="3" t="str">
        <f>IF(AK12, "EffectiveOnConfirmedMechanism", IF(Y12, "NoEffectiveTreatmentOnMechanism", "NoConfirmedMechanism"))</f>
        <v>NoEffectiveTreatmentOnMechanism</v>
      </c>
      <c r="AM12" s="3" t="b">
        <f>IF(AND(AE12, AA12, AC12, R12 &gt; 0), TRUE(), FALSE())</f>
        <v>0</v>
      </c>
      <c r="AN12" s="3" t="str">
        <f>IF(AND(AE12,AA12,AC12,R12&gt;0),"Actionable",IF(OR(NOT(Y12),NOT(AA12)),"NotActionable",IF(N12,"NotActionable",IF(X12&lt;0.7,"NotActionable",IF(NOT(AC12),"NotActionable","Actionable")))))</f>
        <v>NotActionable</v>
      </c>
      <c r="AO12" s="3" t="str">
        <f>IF(AM12,"AllGatesPass",IF(NOT(Y12),"NoValidatedMechanism",IF(N12,"CrypticRelatedness",IF(X12&lt;0.7,"Calibration",IF(NOT(AC12),"AncestryTransport","Undetermined")))))</f>
        <v>AncestryTransport</v>
      </c>
      <c r="AP12" s="2"/>
      <c r="AQ12" s="3" t="str">
        <f>INDEX(Individuals!AX2:AX999, MATCH(C12,Individuals!A2:A999, 0))</f>
        <v>IL-17/23</v>
      </c>
      <c r="AR12" s="3" t="str">
        <f>INDEX(Individuals!AS2:AS999, MATCH(C12,Individuals!A2:A999, 0))</f>
        <v>PresymptomaticAutoimmunity</v>
      </c>
      <c r="AS12" s="3" t="b">
        <f>INDEX(Individuals!AV2:AV999, MATCH(C12,Individuals!A2:A999, 0))</f>
        <v>0</v>
      </c>
      <c r="AT12" s="3" t="str">
        <f>IF(NOT(Y12),"No targeted line — mechanism unconfirmed",IF(OR(AR12="RenalFlareRisk",AR12="BiopsyIndicated"),"Mycophenolate (induction)",IF(AQ12="type-I-IFN","Anifrolumab",IF(AQ12="B-cell/autoantibody","Belimumab",IF(AQ12="IL-17/23","Secukinumab","Standard-of-care (no mechanism-matched targeted line)")))))</f>
        <v>Secukinumab</v>
      </c>
      <c r="AU12" s="3" t="str">
        <f>IF(NOT(Y12),"MechanismUnconfirmed",IF(OR(AR12="RenalFlareRisk",AR12="BiopsyIndicated"),"ActiveNephritis-Induction",IF(AQ12="type-I-IFN","IFNSignature-Anifrolumab",IF(AQ12="B-cell/autoantibody","AutoantibodyDriven-Belimumab",IF(AQ12="IL-17/23","IL17Axis-Secukinumab","NoMechanismMatch")))))</f>
        <v>IL17Axis-Secukinumab</v>
      </c>
      <c r="AV12" s="3" t="b">
        <f>IF(AND(AS12,NOT(AM12)),TRUE(),FALSE())</f>
        <v>0</v>
      </c>
    </row>
    <row r="13">
      <c r="A13" s="2" t="s">
        <v>646</v>
      </c>
      <c r="B13" s="2" t="s">
        <v>646</v>
      </c>
      <c r="C13" s="2" t="s">
        <v>195</v>
      </c>
      <c r="D13" s="2" t="s">
        <v>17</v>
      </c>
      <c r="E13" s="2" t="s">
        <v>635</v>
      </c>
      <c r="F13" s="3" t="str">
        <f>B13</f>
        <v>pred-l</v>
      </c>
      <c r="G13" s="3" t="str">
        <f>INDEX(Individuals!L2:L999, MATCH(C13,Individuals!A2:A999, 0))</f>
        <v>/intake/new-patient/brandt-lena</v>
      </c>
      <c r="H13" s="3" t="str">
        <f>G13 &amp; "/predictions/" &amp; A13</f>
        <v>/intake/new-patient/brandt-lena/predictions/pred-l</v>
      </c>
      <c r="I13" s="3" t="str">
        <f>INDEX(Individuals!D2:D999, MATCH(C13,Individuals!A2:A999, 0))</f>
        <v>Indigenous American</v>
      </c>
      <c r="J13" s="3" t="b">
        <f>INDEX(Individuals!F2:F999, MATCH(C13,Individuals!A2:A999, 0))</f>
        <v>1</v>
      </c>
      <c r="K13" s="3">
        <f>IF(C13 = "", 0, INDEX(Individuals!V2:V999, MATCH(C13,Individuals!A2:A999, 0)))</f>
        <v>0.8583333333333332</v>
      </c>
      <c r="L13" s="4">
        <f>IF(C13 = "", 0, INDEX(Individuals!U2:U999, MATCH(C13,Individuals!A2:A999, 0)))</f>
        <v>1</v>
      </c>
      <c r="M13" s="4">
        <f>IF(C13 = "", 0, INDEX(Individuals!W2:W999, MATCH(C13,Individuals!A2:A999, 0)))</f>
        <v>1</v>
      </c>
      <c r="N13" s="3" t="b">
        <f>IF(C13 = "", FALSE(), INDEX(Individuals!I2:I999, MATCH(C13,Individuals!A2:A999, 0)))</f>
        <v>0</v>
      </c>
      <c r="O13" s="3">
        <f>IF(C13 = "", 0, INDEX(Individuals!X2:X999, MATCH(C13,Individuals!A2:A999, 0)))</f>
        <v>6</v>
      </c>
      <c r="P13" s="3" t="b">
        <f>IF(C13 = "", FALSE(), INDEX(Individuals!Z2:Z999, MATCH(C13,Individuals!A2:A999, 0)))</f>
        <v>0</v>
      </c>
      <c r="Q13" s="3" t="b">
        <f>IF(C13 = "", FALSE(), INDEX(Individuals!AB2:AB999, MATCH(C13,Individuals!A2:A999, 0)))</f>
        <v>1</v>
      </c>
      <c r="R13" s="3">
        <f>IF(((2 * K13) + (1.5 * L13)) &gt; 10, 10, (2 * K13) + (1.5 * L13))</f>
        <v>3.2166666666666663</v>
      </c>
      <c r="S13" s="4">
        <f>COUNTIFS(CalibrationBins!C2:C999, A13)</f>
        <v>5</v>
      </c>
      <c r="T13" s="4">
        <f>COUNTIFS(CalibrationBins!C2:C999, A13,CalibrationBins!K2:K999, TRUE())</f>
        <v>5</v>
      </c>
      <c r="U13" s="3">
        <f>SUMIFS(CalibrationBins!J2:J999,CalibrationBins!C2:C999, A13)</f>
        <v>0.07999999999999996</v>
      </c>
      <c r="V13" s="3">
        <f>IF(S13 &gt; 0, U13 / S13, 1)</f>
        <v>0.015999999999999993</v>
      </c>
      <c r="W13" s="3">
        <f>IF(S13 &gt; 0, T13 / S13, 0)</f>
        <v>1</v>
      </c>
      <c r="X13" s="3">
        <f>IF((1 - V13) &lt; 0, 0, (1 - V13)) * W13</f>
        <v>0.984</v>
      </c>
      <c r="Y13" s="3" t="b">
        <f>IF(L13 &gt;= 1, TRUE(), FALSE())</f>
        <v>1</v>
      </c>
      <c r="Z13" s="3" t="b">
        <f>IF(OR(NOT(Y13), N13), TRUE(), FALSE())</f>
        <v>0</v>
      </c>
      <c r="AA13" s="3" t="b">
        <f>IF(L13 &gt;= 1, TRUE(), FALSE())</f>
        <v>1</v>
      </c>
      <c r="AB13" s="3" t="b">
        <f>IF(AND(J13, M13 &gt;= 1, NOT(Z13)), TRUE(), FALSE())</f>
        <v>1</v>
      </c>
      <c r="AC13" s="3" t="b">
        <f>IF(J13, AB13, TRUE())</f>
        <v>1</v>
      </c>
      <c r="AD13" s="3" t="str">
        <f>IF(NOT(J13), "NotApplicable", IF(AB13, "PASS-tested", "FAIL"))</f>
        <v>PASS-tested</v>
      </c>
      <c r="AE13" s="3" t="b">
        <f>IF(AND(X13 &gt;= 0.7, NOT(Z13)), TRUE(), FALSE())</f>
        <v>1</v>
      </c>
      <c r="AF13" s="3" t="str">
        <f>IF(R13 &gt;= 7, "High-Risk Pathway", IF(R13 &gt;= 4, "Moderate-Risk Pathway", "Low-Risk Pathway"))</f>
        <v>Low-Risk Pathway</v>
      </c>
      <c r="AG13" s="3">
        <f>O13</f>
        <v>6</v>
      </c>
      <c r="AH13" s="3" t="str">
        <f>IF(AG13 &gt; 7, "Severe", IF(AG13 &gt;= 4, "Moderate", "Mild"))</f>
        <v>Moderate</v>
      </c>
      <c r="AI13" s="3" t="b">
        <f>IF(AND(P13, Y13, NOT(Z13)), TRUE(), FALSE())</f>
        <v>0</v>
      </c>
      <c r="AJ13" s="3" t="str">
        <f>IF(AI13, "HighSeverityOnConfirmedMechanism", IF(NOT(P13), "NotHighSeverity", IF(NOT(Y13), "NoValidatedMechanism", IF(Z13, "SpuriousFlag", "Undetermined"))))</f>
        <v>NotHighSeverity</v>
      </c>
      <c r="AK13" s="3" t="b">
        <f>IF(Q13, TRUE(), FALSE())</f>
        <v>1</v>
      </c>
      <c r="AL13" s="3" t="str">
        <f>IF(AK13, "EffectiveOnConfirmedMechanism", IF(Y13, "NoEffectiveTreatmentOnMechanism", "NoConfirmedMechanism"))</f>
        <v>EffectiveOnConfirmedMechanism</v>
      </c>
      <c r="AM13" s="3" t="b">
        <f>IF(AND(AE13, AA13, AC13, R13 &gt; 0), TRUE(), FALSE())</f>
        <v>1</v>
      </c>
      <c r="AN13" s="3" t="str">
        <f>IF(AND(AE13,AA13,AC13,R13&gt;0),"Actionable",IF(OR(NOT(Y13),NOT(AA13)),"NotActionable",IF(N13,"NotActionable",IF(X13&lt;0.7,"NotActionable",IF(NOT(AC13),"NotActionable","Actionable")))))</f>
        <v>Actionable</v>
      </c>
      <c r="AO13" s="3" t="str">
        <f>IF(AM13,"AllGatesPass",IF(NOT(Y13),"NoValidatedMechanism",IF(N13,"CrypticRelatedness",IF(X13&lt;0.7,"Calibration",IF(NOT(AC13),"AncestryTransport","Undetermined")))))</f>
        <v>AllGatesPass</v>
      </c>
      <c r="AP13" s="2"/>
      <c r="AQ13" s="3" t="str">
        <f>INDEX(Individuals!AX2:AX999, MATCH(C13,Individuals!A2:A999, 0))</f>
        <v>IL-17/23</v>
      </c>
      <c r="AR13" s="3" t="str">
        <f>INDEX(Individuals!AS2:AS999, MATCH(C13,Individuals!A2:A999, 0))</f>
        <v>PresymptomaticAutoimmunity</v>
      </c>
      <c r="AS13" s="3" t="b">
        <f>INDEX(Individuals!AV2:AV999, MATCH(C13,Individuals!A2:A999, 0))</f>
        <v>0</v>
      </c>
      <c r="AT13" s="3" t="str">
        <f>IF(NOT(Y13),"No targeted line — mechanism unconfirmed",IF(OR(AR13="RenalFlareRisk",AR13="BiopsyIndicated"),"Mycophenolate (induction)",IF(AQ13="type-I-IFN","Anifrolumab",IF(AQ13="B-cell/autoantibody","Belimumab",IF(AQ13="IL-17/23","Secukinumab","Standard-of-care (no mechanism-matched targeted line)")))))</f>
        <v>Secukinumab</v>
      </c>
      <c r="AU13" s="3" t="str">
        <f>IF(NOT(Y13),"MechanismUnconfirmed",IF(OR(AR13="RenalFlareRisk",AR13="BiopsyIndicated"),"ActiveNephritis-Induction",IF(AQ13="type-I-IFN","IFNSignature-Anifrolumab",IF(AQ13="B-cell/autoantibody","AutoantibodyDriven-Belimumab",IF(AQ13="IL-17/23","IL17Axis-Secukinumab","NoMechanismMatch")))))</f>
        <v>IL17Axis-Secukinumab</v>
      </c>
      <c r="AV13" s="3" t="b">
        <f>IF(AND(AS13,NOT(AM13)),TRUE(),FALSE())</f>
        <v>0</v>
      </c>
    </row>
  </sheetData>
  <autoFilter ref="A1:AV1"/>
  <headerFooter/>
  <legacyDrawing r:id="rId1"/>
</worksheet>
</file>

<file path=xl/worksheets/sheet2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61"/>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20.123838424682617" customWidth="1"/>
    <col min="4" max="4" width="24.840444564819336" customWidth="1"/>
    <col min="5" max="5" width="20.10554313659668" customWidth="1"/>
    <col min="6" max="6" width="17.443378448486328" customWidth="1"/>
    <col min="7" max="7" width="17.443378448486328" customWidth="1"/>
    <col min="8" max="8" width="53.5694694519043" customWidth="1"/>
    <col min="9" max="9" width="65.24018859863281" customWidth="1"/>
    <col min="10" max="10" width="17.443378448486328" customWidth="1"/>
    <col min="11" max="11" width="19.427501678466797" customWidth="1"/>
    <col min="12" max="12" width="53.93618392944336" customWidth="1"/>
  </cols>
  <sheetData>
    <row r="1">
      <c r="A1" s="1" t="s">
        <v>647</v>
      </c>
      <c r="B1" s="1" t="s">
        <v>648</v>
      </c>
      <c r="C1" s="1" t="s">
        <v>649</v>
      </c>
      <c r="D1" s="1" t="s">
        <v>650</v>
      </c>
      <c r="E1" s="1" t="s">
        <v>651</v>
      </c>
      <c r="F1" s="1" t="s">
        <v>652</v>
      </c>
      <c r="G1" s="1" t="s">
        <v>3</v>
      </c>
      <c r="H1" s="1" t="s">
        <v>23</v>
      </c>
      <c r="I1" s="1" t="s">
        <v>4</v>
      </c>
      <c r="J1" s="1" t="s">
        <v>653</v>
      </c>
      <c r="K1" s="1" t="s">
        <v>654</v>
      </c>
      <c r="L1" s="1" t="s">
        <v>210</v>
      </c>
    </row>
    <row r="2">
      <c r="A2" s="2" t="s">
        <v>655</v>
      </c>
      <c r="B2" s="2" t="s">
        <v>655</v>
      </c>
      <c r="C2" s="2" t="s">
        <v>634</v>
      </c>
      <c r="D2" s="2">
        <v>0.1</v>
      </c>
      <c r="E2" s="2">
        <v>0.09</v>
      </c>
      <c r="F2" s="5">
        <v>34</v>
      </c>
      <c r="G2" s="3" t="str">
        <f>B2</f>
        <v>cb-a-0</v>
      </c>
      <c r="H2" s="3" t="str">
        <f>INDEX(IndividualPredictions!H2:H999, MATCH(C2,IndividualPredictions!A2:A999, 0))</f>
        <v>/intake/new-patient/reyes-ana/predictions/pred-a</v>
      </c>
      <c r="I2" s="3" t="str">
        <f>H2 &amp; "/bins/" &amp; A2</f>
        <v>/intake/new-patient/reyes-ana/predictions/pred-a/bins/cb-a-0</v>
      </c>
      <c r="J2" s="3">
        <f>IF(D2 &gt;= E2, D2 - E2, E2 - D2)</f>
        <v>0.010000000000000009</v>
      </c>
      <c r="K2" s="3" t="b">
        <f>IF(AND(F2 &gt;= 20, J2 &lt;= 0.1), TRUE(), FALSE())</f>
        <v>1</v>
      </c>
      <c r="L2" s="2" t="s">
        <v>656</v>
      </c>
    </row>
    <row r="3">
      <c r="A3" s="2" t="s">
        <v>657</v>
      </c>
      <c r="B3" s="2" t="s">
        <v>657</v>
      </c>
      <c r="C3" s="2" t="s">
        <v>634</v>
      </c>
      <c r="D3" s="2">
        <v>0.3</v>
      </c>
      <c r="E3" s="2">
        <v>0.31</v>
      </c>
      <c r="F3" s="5">
        <v>31</v>
      </c>
      <c r="G3" s="3" t="str">
        <f>B3</f>
        <v>cb-a-1</v>
      </c>
      <c r="H3" s="3" t="str">
        <f>INDEX(IndividualPredictions!H2:H999, MATCH(C3,IndividualPredictions!A2:A999, 0))</f>
        <v>/intake/new-patient/reyes-ana/predictions/pred-a</v>
      </c>
      <c r="I3" s="3" t="str">
        <f>H3 &amp; "/bins/" &amp; A3</f>
        <v>/intake/new-patient/reyes-ana/predictions/pred-a/bins/cb-a-1</v>
      </c>
      <c r="J3" s="3">
        <f>IF(D3 &gt;= E3, D3 - E3, E3 - D3)</f>
        <v>0.010000000000000009</v>
      </c>
      <c r="K3" s="3" t="b">
        <f>IF(AND(F3 &gt;= 20, J3 &lt;= 0.1), TRUE(), FALSE())</f>
        <v>1</v>
      </c>
      <c r="L3" s="2" t="s">
        <v>656</v>
      </c>
    </row>
    <row r="4">
      <c r="A4" s="2" t="s">
        <v>658</v>
      </c>
      <c r="B4" s="2" t="s">
        <v>658</v>
      </c>
      <c r="C4" s="2" t="s">
        <v>634</v>
      </c>
      <c r="D4" s="2">
        <v>0.5</v>
      </c>
      <c r="E4" s="2">
        <v>0.49</v>
      </c>
      <c r="F4" s="5">
        <v>29</v>
      </c>
      <c r="G4" s="3" t="str">
        <f>B4</f>
        <v>cb-a-2</v>
      </c>
      <c r="H4" s="3" t="str">
        <f>INDEX(IndividualPredictions!H2:H999, MATCH(C4,IndividualPredictions!A2:A999, 0))</f>
        <v>/intake/new-patient/reyes-ana/predictions/pred-a</v>
      </c>
      <c r="I4" s="3" t="str">
        <f>H4 &amp; "/bins/" &amp; A4</f>
        <v>/intake/new-patient/reyes-ana/predictions/pred-a/bins/cb-a-2</v>
      </c>
      <c r="J4" s="3">
        <f>IF(D4 &gt;= E4, D4 - E4, E4 - D4)</f>
        <v>0.010000000000000009</v>
      </c>
      <c r="K4" s="3" t="b">
        <f>IF(AND(F4 &gt;= 20, J4 &lt;= 0.1), TRUE(), FALSE())</f>
        <v>1</v>
      </c>
      <c r="L4" s="2" t="s">
        <v>656</v>
      </c>
    </row>
    <row r="5">
      <c r="A5" s="2" t="s">
        <v>659</v>
      </c>
      <c r="B5" s="2" t="s">
        <v>659</v>
      </c>
      <c r="C5" s="2" t="s">
        <v>634</v>
      </c>
      <c r="D5" s="2">
        <v>0.7</v>
      </c>
      <c r="E5" s="2">
        <v>0.71</v>
      </c>
      <c r="F5" s="5">
        <v>33</v>
      </c>
      <c r="G5" s="3" t="str">
        <f>B5</f>
        <v>cb-a-3</v>
      </c>
      <c r="H5" s="3" t="str">
        <f>INDEX(IndividualPredictions!H2:H999, MATCH(C5,IndividualPredictions!A2:A999, 0))</f>
        <v>/intake/new-patient/reyes-ana/predictions/pred-a</v>
      </c>
      <c r="I5" s="3" t="str">
        <f>H5 &amp; "/bins/" &amp; A5</f>
        <v>/intake/new-patient/reyes-ana/predictions/pred-a/bins/cb-a-3</v>
      </c>
      <c r="J5" s="3">
        <f>IF(D5 &gt;= E5, D5 - E5, E5 - D5)</f>
        <v>0.010000000000000009</v>
      </c>
      <c r="K5" s="3" t="b">
        <f>IF(AND(F5 &gt;= 20, J5 &lt;= 0.1), TRUE(), FALSE())</f>
        <v>1</v>
      </c>
      <c r="L5" s="2" t="s">
        <v>656</v>
      </c>
    </row>
    <row r="6">
      <c r="A6" s="2" t="s">
        <v>660</v>
      </c>
      <c r="B6" s="2" t="s">
        <v>660</v>
      </c>
      <c r="C6" s="2" t="s">
        <v>634</v>
      </c>
      <c r="D6" s="2">
        <v>0.9</v>
      </c>
      <c r="E6" s="2">
        <v>0.88</v>
      </c>
      <c r="F6" s="5">
        <v>30</v>
      </c>
      <c r="G6" s="3" t="str">
        <f>B6</f>
        <v>cb-a-4</v>
      </c>
      <c r="H6" s="3" t="str">
        <f>INDEX(IndividualPredictions!H2:H999, MATCH(C6,IndividualPredictions!A2:A999, 0))</f>
        <v>/intake/new-patient/reyes-ana/predictions/pred-a</v>
      </c>
      <c r="I6" s="3" t="str">
        <f>H6 &amp; "/bins/" &amp; A6</f>
        <v>/intake/new-patient/reyes-ana/predictions/pred-a/bins/cb-a-4</v>
      </c>
      <c r="J6" s="3">
        <f>IF(D6 &gt;= E6, D6 - E6, E6 - D6)</f>
        <v>0.020000000000000018</v>
      </c>
      <c r="K6" s="3" t="b">
        <f>IF(AND(F6 &gt;= 20, J6 &lt;= 0.1), TRUE(), FALSE())</f>
        <v>1</v>
      </c>
      <c r="L6" s="2" t="s">
        <v>656</v>
      </c>
    </row>
    <row r="7">
      <c r="A7" s="2" t="s">
        <v>661</v>
      </c>
      <c r="B7" s="2" t="s">
        <v>661</v>
      </c>
      <c r="C7" s="2" t="s">
        <v>637</v>
      </c>
      <c r="D7" s="2">
        <v>0.1</v>
      </c>
      <c r="E7" s="2">
        <v>0.11</v>
      </c>
      <c r="F7" s="5">
        <v>28</v>
      </c>
      <c r="G7" s="3" t="str">
        <f>B7</f>
        <v>cb-c-0</v>
      </c>
      <c r="H7" s="3" t="str">
        <f>INDEX(IndividualPredictions!H2:H999, MATCH(C7,IndividualPredictions!A2:A999, 0))</f>
        <v>/intake/new-patient/wei-chen/predictions/pred-c</v>
      </c>
      <c r="I7" s="3" t="str">
        <f>H7 &amp; "/bins/" &amp; A7</f>
        <v>/intake/new-patient/wei-chen/predictions/pred-c/bins/cb-c-0</v>
      </c>
      <c r="J7" s="3">
        <f>IF(D7 &gt;= E7, D7 - E7, E7 - D7)</f>
        <v>0.009999999999999995</v>
      </c>
      <c r="K7" s="3" t="b">
        <f>IF(AND(F7 &gt;= 20, J7 &lt;= 0.1), TRUE(), FALSE())</f>
        <v>1</v>
      </c>
      <c r="L7" s="2" t="s">
        <v>662</v>
      </c>
    </row>
    <row r="8">
      <c r="A8" s="2" t="s">
        <v>663</v>
      </c>
      <c r="B8" s="2" t="s">
        <v>663</v>
      </c>
      <c r="C8" s="2" t="s">
        <v>637</v>
      </c>
      <c r="D8" s="2">
        <v>0.3</v>
      </c>
      <c r="E8" s="2">
        <v>0.29</v>
      </c>
      <c r="F8" s="5">
        <v>32</v>
      </c>
      <c r="G8" s="3" t="str">
        <f>B8</f>
        <v>cb-c-1</v>
      </c>
      <c r="H8" s="3" t="str">
        <f>INDEX(IndividualPredictions!H2:H999, MATCH(C8,IndividualPredictions!A2:A999, 0))</f>
        <v>/intake/new-patient/wei-chen/predictions/pred-c</v>
      </c>
      <c r="I8" s="3" t="str">
        <f>H8 &amp; "/bins/" &amp; A8</f>
        <v>/intake/new-patient/wei-chen/predictions/pred-c/bins/cb-c-1</v>
      </c>
      <c r="J8" s="3">
        <f>IF(D8 &gt;= E8, D8 - E8, E8 - D8)</f>
        <v>0.010000000000000009</v>
      </c>
      <c r="K8" s="3" t="b">
        <f>IF(AND(F8 &gt;= 20, J8 &lt;= 0.1), TRUE(), FALSE())</f>
        <v>1</v>
      </c>
      <c r="L8" s="2" t="s">
        <v>662</v>
      </c>
    </row>
    <row r="9">
      <c r="A9" s="2" t="s">
        <v>664</v>
      </c>
      <c r="B9" s="2" t="s">
        <v>664</v>
      </c>
      <c r="C9" s="2" t="s">
        <v>637</v>
      </c>
      <c r="D9" s="2">
        <v>0.5</v>
      </c>
      <c r="E9" s="2">
        <v>0.53</v>
      </c>
      <c r="F9" s="5">
        <v>30</v>
      </c>
      <c r="G9" s="3" t="str">
        <f>B9</f>
        <v>cb-c-2</v>
      </c>
      <c r="H9" s="3" t="str">
        <f>INDEX(IndividualPredictions!H2:H999, MATCH(C9,IndividualPredictions!A2:A999, 0))</f>
        <v>/intake/new-patient/wei-chen/predictions/pred-c</v>
      </c>
      <c r="I9" s="3" t="str">
        <f>H9 &amp; "/bins/" &amp; A9</f>
        <v>/intake/new-patient/wei-chen/predictions/pred-c/bins/cb-c-2</v>
      </c>
      <c r="J9" s="3">
        <f>IF(D9 &gt;= E9, D9 - E9, E9 - D9)</f>
        <v>0.030000000000000027</v>
      </c>
      <c r="K9" s="3" t="b">
        <f>IF(AND(F9 &gt;= 20, J9 &lt;= 0.1), TRUE(), FALSE())</f>
        <v>1</v>
      </c>
      <c r="L9" s="2" t="s">
        <v>662</v>
      </c>
    </row>
    <row r="10">
      <c r="A10" s="2" t="s">
        <v>665</v>
      </c>
      <c r="B10" s="2" t="s">
        <v>665</v>
      </c>
      <c r="C10" s="2" t="s">
        <v>637</v>
      </c>
      <c r="D10" s="2">
        <v>0.7</v>
      </c>
      <c r="E10" s="2">
        <v>0.67</v>
      </c>
      <c r="F10" s="5">
        <v>31</v>
      </c>
      <c r="G10" s="3" t="str">
        <f>B10</f>
        <v>cb-c-3</v>
      </c>
      <c r="H10" s="3" t="str">
        <f>INDEX(IndividualPredictions!H2:H999, MATCH(C10,IndividualPredictions!A2:A999, 0))</f>
        <v>/intake/new-patient/wei-chen/predictions/pred-c</v>
      </c>
      <c r="I10" s="3" t="str">
        <f>H10 &amp; "/bins/" &amp; A10</f>
        <v>/intake/new-patient/wei-chen/predictions/pred-c/bins/cb-c-3</v>
      </c>
      <c r="J10" s="3">
        <f>IF(D10 &gt;= E10, D10 - E10, E10 - D10)</f>
        <v>0.029999999999999916</v>
      </c>
      <c r="K10" s="3" t="b">
        <f>IF(AND(F10 &gt;= 20, J10 &lt;= 0.1), TRUE(), FALSE())</f>
        <v>1</v>
      </c>
      <c r="L10" s="2" t="s">
        <v>662</v>
      </c>
    </row>
    <row r="11">
      <c r="A11" s="2" t="s">
        <v>666</v>
      </c>
      <c r="B11" s="2" t="s">
        <v>666</v>
      </c>
      <c r="C11" s="2" t="s">
        <v>637</v>
      </c>
      <c r="D11" s="2">
        <v>0.9</v>
      </c>
      <c r="E11" s="2">
        <v>0.9</v>
      </c>
      <c r="F11" s="5">
        <v>29</v>
      </c>
      <c r="G11" s="3" t="str">
        <f>B11</f>
        <v>cb-c-4</v>
      </c>
      <c r="H11" s="3" t="str">
        <f>INDEX(IndividualPredictions!H2:H999, MATCH(C11,IndividualPredictions!A2:A999, 0))</f>
        <v>/intake/new-patient/wei-chen/predictions/pred-c</v>
      </c>
      <c r="I11" s="3" t="str">
        <f>H11 &amp; "/bins/" &amp; A11</f>
        <v>/intake/new-patient/wei-chen/predictions/pred-c/bins/cb-c-4</v>
      </c>
      <c r="J11" s="3">
        <f>IF(D11 &gt;= E11, D11 - E11, E11 - D11)</f>
        <v>0</v>
      </c>
      <c r="K11" s="3" t="b">
        <f>IF(AND(F11 &gt;= 20, J11 &lt;= 0.1), TRUE(), FALSE())</f>
        <v>1</v>
      </c>
      <c r="L11" s="2" t="s">
        <v>662</v>
      </c>
    </row>
    <row r="12">
      <c r="A12" s="2" t="s">
        <v>667</v>
      </c>
      <c r="B12" s="2" t="s">
        <v>667</v>
      </c>
      <c r="C12" s="2" t="s">
        <v>638</v>
      </c>
      <c r="D12" s="2">
        <v>0.1</v>
      </c>
      <c r="E12" s="2">
        <v>0.08</v>
      </c>
      <c r="F12" s="5">
        <v>36</v>
      </c>
      <c r="G12" s="3" t="str">
        <f>B12</f>
        <v>cb-d-0</v>
      </c>
      <c r="H12" s="3" t="str">
        <f>INDEX(IndividualPredictions!H2:H999, MATCH(C12,IndividualPredictions!A2:A999, 0))</f>
        <v>/intake/new-patient/santos-diego/predictions/pred-d</v>
      </c>
      <c r="I12" s="3" t="str">
        <f>H12 &amp; "/bins/" &amp; A12</f>
        <v>/intake/new-patient/santos-diego/predictions/pred-d/bins/cb-d-0</v>
      </c>
      <c r="J12" s="3">
        <f>IF(D12 &gt;= E12, D12 - E12, E12 - D12)</f>
        <v>0.020000000000000004</v>
      </c>
      <c r="K12" s="3" t="b">
        <f>IF(AND(F12 &gt;= 20, J12 &lt;= 0.1), TRUE(), FALSE())</f>
        <v>1</v>
      </c>
      <c r="L12" s="2" t="s">
        <v>668</v>
      </c>
    </row>
    <row r="13">
      <c r="A13" s="2" t="s">
        <v>669</v>
      </c>
      <c r="B13" s="2" t="s">
        <v>669</v>
      </c>
      <c r="C13" s="2" t="s">
        <v>638</v>
      </c>
      <c r="D13" s="2">
        <v>0.3</v>
      </c>
      <c r="E13" s="2">
        <v>0.32</v>
      </c>
      <c r="F13" s="5">
        <v>33</v>
      </c>
      <c r="G13" s="3" t="str">
        <f>B13</f>
        <v>cb-d-1</v>
      </c>
      <c r="H13" s="3" t="str">
        <f>INDEX(IndividualPredictions!H2:H999, MATCH(C13,IndividualPredictions!A2:A999, 0))</f>
        <v>/intake/new-patient/santos-diego/predictions/pred-d</v>
      </c>
      <c r="I13" s="3" t="str">
        <f>H13 &amp; "/bins/" &amp; A13</f>
        <v>/intake/new-patient/santos-diego/predictions/pred-d/bins/cb-d-1</v>
      </c>
      <c r="J13" s="3">
        <f>IF(D13 &gt;= E13, D13 - E13, E13 - D13)</f>
        <v>0.020000000000000018</v>
      </c>
      <c r="K13" s="3" t="b">
        <f>IF(AND(F13 &gt;= 20, J13 &lt;= 0.1), TRUE(), FALSE())</f>
        <v>1</v>
      </c>
      <c r="L13" s="2" t="s">
        <v>668</v>
      </c>
    </row>
    <row r="14">
      <c r="A14" s="2" t="s">
        <v>670</v>
      </c>
      <c r="B14" s="2" t="s">
        <v>670</v>
      </c>
      <c r="C14" s="2" t="s">
        <v>638</v>
      </c>
      <c r="D14" s="2">
        <v>0.5</v>
      </c>
      <c r="E14" s="2">
        <v>0.5</v>
      </c>
      <c r="F14" s="5">
        <v>35</v>
      </c>
      <c r="G14" s="3" t="str">
        <f>B14</f>
        <v>cb-d-2</v>
      </c>
      <c r="H14" s="3" t="str">
        <f>INDEX(IndividualPredictions!H2:H999, MATCH(C14,IndividualPredictions!A2:A999, 0))</f>
        <v>/intake/new-patient/santos-diego/predictions/pred-d</v>
      </c>
      <c r="I14" s="3" t="str">
        <f>H14 &amp; "/bins/" &amp; A14</f>
        <v>/intake/new-patient/santos-diego/predictions/pred-d/bins/cb-d-2</v>
      </c>
      <c r="J14" s="3">
        <f>IF(D14 &gt;= E14, D14 - E14, E14 - D14)</f>
        <v>0</v>
      </c>
      <c r="K14" s="3" t="b">
        <f>IF(AND(F14 &gt;= 20, J14 &lt;= 0.1), TRUE(), FALSE())</f>
        <v>1</v>
      </c>
      <c r="L14" s="2" t="s">
        <v>668</v>
      </c>
    </row>
    <row r="15">
      <c r="A15" s="2" t="s">
        <v>671</v>
      </c>
      <c r="B15" s="2" t="s">
        <v>671</v>
      </c>
      <c r="C15" s="2" t="s">
        <v>638</v>
      </c>
      <c r="D15" s="2">
        <v>0.7</v>
      </c>
      <c r="E15" s="2">
        <v>0.69</v>
      </c>
      <c r="F15" s="5">
        <v>30</v>
      </c>
      <c r="G15" s="3" t="str">
        <f>B15</f>
        <v>cb-d-3</v>
      </c>
      <c r="H15" s="3" t="str">
        <f>INDEX(IndividualPredictions!H2:H999, MATCH(C15,IndividualPredictions!A2:A999, 0))</f>
        <v>/intake/new-patient/santos-diego/predictions/pred-d</v>
      </c>
      <c r="I15" s="3" t="str">
        <f>H15 &amp; "/bins/" &amp; A15</f>
        <v>/intake/new-patient/santos-diego/predictions/pred-d/bins/cb-d-3</v>
      </c>
      <c r="J15" s="3">
        <f>IF(D15 &gt;= E15, D15 - E15, E15 - D15)</f>
        <v>0.010000000000000009</v>
      </c>
      <c r="K15" s="3" t="b">
        <f>IF(AND(F15 &gt;= 20, J15 &lt;= 0.1), TRUE(), FALSE())</f>
        <v>1</v>
      </c>
      <c r="L15" s="2" t="s">
        <v>668</v>
      </c>
    </row>
    <row r="16">
      <c r="A16" s="2" t="s">
        <v>672</v>
      </c>
      <c r="B16" s="2" t="s">
        <v>672</v>
      </c>
      <c r="C16" s="2" t="s">
        <v>638</v>
      </c>
      <c r="D16" s="2">
        <v>0.9</v>
      </c>
      <c r="E16" s="2">
        <v>0.91</v>
      </c>
      <c r="F16" s="5">
        <v>34</v>
      </c>
      <c r="G16" s="3" t="str">
        <f>B16</f>
        <v>cb-d-4</v>
      </c>
      <c r="H16" s="3" t="str">
        <f>INDEX(IndividualPredictions!H2:H999, MATCH(C16,IndividualPredictions!A2:A999, 0))</f>
        <v>/intake/new-patient/santos-diego/predictions/pred-d</v>
      </c>
      <c r="I16" s="3" t="str">
        <f>H16 &amp; "/bins/" &amp; A16</f>
        <v>/intake/new-patient/santos-diego/predictions/pred-d/bins/cb-d-4</v>
      </c>
      <c r="J16" s="3">
        <f>IF(D16 &gt;= E16, D16 - E16, E16 - D16)</f>
        <v>0.010000000000000009</v>
      </c>
      <c r="K16" s="3" t="b">
        <f>IF(AND(F16 &gt;= 20, J16 &lt;= 0.1), TRUE(), FALSE())</f>
        <v>1</v>
      </c>
      <c r="L16" s="2" t="s">
        <v>668</v>
      </c>
    </row>
    <row r="17">
      <c r="A17" s="2" t="s">
        <v>673</v>
      </c>
      <c r="B17" s="2" t="s">
        <v>673</v>
      </c>
      <c r="C17" s="2" t="s">
        <v>639</v>
      </c>
      <c r="D17" s="2">
        <v>0.1</v>
      </c>
      <c r="E17" s="2">
        <v>0.1</v>
      </c>
      <c r="F17" s="5">
        <v>27</v>
      </c>
      <c r="G17" s="3" t="str">
        <f>B17</f>
        <v>cb-e-0</v>
      </c>
      <c r="H17" s="3" t="str">
        <f>INDEX(IndividualPredictions!H2:H999, MATCH(C17,IndividualPredictions!A2:A999, 0))</f>
        <v>/intake/new-patient/mensah-esi/predictions/pred-e</v>
      </c>
      <c r="I17" s="3" t="str">
        <f>H17 &amp; "/bins/" &amp; A17</f>
        <v>/intake/new-patient/mensah-esi/predictions/pred-e/bins/cb-e-0</v>
      </c>
      <c r="J17" s="3">
        <f>IF(D17 &gt;= E17, D17 - E17, E17 - D17)</f>
        <v>0</v>
      </c>
      <c r="K17" s="3" t="b">
        <f>IF(AND(F17 &gt;= 20, J17 &lt;= 0.1), TRUE(), FALSE())</f>
        <v>1</v>
      </c>
      <c r="L17" s="2" t="s">
        <v>674</v>
      </c>
    </row>
    <row r="18">
      <c r="A18" s="2" t="s">
        <v>675</v>
      </c>
      <c r="B18" s="2" t="s">
        <v>675</v>
      </c>
      <c r="C18" s="2" t="s">
        <v>639</v>
      </c>
      <c r="D18" s="2">
        <v>0.3</v>
      </c>
      <c r="E18" s="2">
        <v>0.28</v>
      </c>
      <c r="F18" s="5">
        <v>30</v>
      </c>
      <c r="G18" s="3" t="str">
        <f>B18</f>
        <v>cb-e-1</v>
      </c>
      <c r="H18" s="3" t="str">
        <f>INDEX(IndividualPredictions!H2:H999, MATCH(C18,IndividualPredictions!A2:A999, 0))</f>
        <v>/intake/new-patient/mensah-esi/predictions/pred-e</v>
      </c>
      <c r="I18" s="3" t="str">
        <f>H18 &amp; "/bins/" &amp; A18</f>
        <v>/intake/new-patient/mensah-esi/predictions/pred-e/bins/cb-e-1</v>
      </c>
      <c r="J18" s="3">
        <f>IF(D18 &gt;= E18, D18 - E18, E18 - D18)</f>
        <v>0.019999999999999962</v>
      </c>
      <c r="K18" s="3" t="b">
        <f>IF(AND(F18 &gt;= 20, J18 &lt;= 0.1), TRUE(), FALSE())</f>
        <v>1</v>
      </c>
      <c r="L18" s="2" t="s">
        <v>674</v>
      </c>
    </row>
    <row r="19">
      <c r="A19" s="2" t="s">
        <v>676</v>
      </c>
      <c r="B19" s="2" t="s">
        <v>676</v>
      </c>
      <c r="C19" s="2" t="s">
        <v>639</v>
      </c>
      <c r="D19" s="2">
        <v>0.5</v>
      </c>
      <c r="E19" s="2">
        <v>0.51</v>
      </c>
      <c r="F19" s="5">
        <v>33</v>
      </c>
      <c r="G19" s="3" t="str">
        <f>B19</f>
        <v>cb-e-2</v>
      </c>
      <c r="H19" s="3" t="str">
        <f>INDEX(IndividualPredictions!H2:H999, MATCH(C19,IndividualPredictions!A2:A999, 0))</f>
        <v>/intake/new-patient/mensah-esi/predictions/pred-e</v>
      </c>
      <c r="I19" s="3" t="str">
        <f>H19 &amp; "/bins/" &amp; A19</f>
        <v>/intake/new-patient/mensah-esi/predictions/pred-e/bins/cb-e-2</v>
      </c>
      <c r="J19" s="3">
        <f>IF(D19 &gt;= E19, D19 - E19, E19 - D19)</f>
        <v>0.010000000000000009</v>
      </c>
      <c r="K19" s="3" t="b">
        <f>IF(AND(F19 &gt;= 20, J19 &lt;= 0.1), TRUE(), FALSE())</f>
        <v>1</v>
      </c>
      <c r="L19" s="2" t="s">
        <v>674</v>
      </c>
    </row>
    <row r="20">
      <c r="A20" s="2" t="s">
        <v>677</v>
      </c>
      <c r="B20" s="2" t="s">
        <v>677</v>
      </c>
      <c r="C20" s="2" t="s">
        <v>639</v>
      </c>
      <c r="D20" s="2">
        <v>0.7</v>
      </c>
      <c r="E20" s="2">
        <v>0.72</v>
      </c>
      <c r="F20" s="5">
        <v>28</v>
      </c>
      <c r="G20" s="3" t="str">
        <f>B20</f>
        <v>cb-e-3</v>
      </c>
      <c r="H20" s="3" t="str">
        <f>INDEX(IndividualPredictions!H2:H999, MATCH(C20,IndividualPredictions!A2:A999, 0))</f>
        <v>/intake/new-patient/mensah-esi/predictions/pred-e</v>
      </c>
      <c r="I20" s="3" t="str">
        <f>H20 &amp; "/bins/" &amp; A20</f>
        <v>/intake/new-patient/mensah-esi/predictions/pred-e/bins/cb-e-3</v>
      </c>
      <c r="J20" s="3">
        <f>IF(D20 &gt;= E20, D20 - E20, E20 - D20)</f>
        <v>0.020000000000000018</v>
      </c>
      <c r="K20" s="3" t="b">
        <f>IF(AND(F20 &gt;= 20, J20 &lt;= 0.1), TRUE(), FALSE())</f>
        <v>1</v>
      </c>
      <c r="L20" s="2" t="s">
        <v>674</v>
      </c>
    </row>
    <row r="21">
      <c r="A21" s="2" t="s">
        <v>678</v>
      </c>
      <c r="B21" s="2" t="s">
        <v>678</v>
      </c>
      <c r="C21" s="2" t="s">
        <v>639</v>
      </c>
      <c r="D21" s="2">
        <v>0.9</v>
      </c>
      <c r="E21" s="2">
        <v>0.89</v>
      </c>
      <c r="F21" s="5">
        <v>31</v>
      </c>
      <c r="G21" s="3" t="str">
        <f>B21</f>
        <v>cb-e-4</v>
      </c>
      <c r="H21" s="3" t="str">
        <f>INDEX(IndividualPredictions!H2:H999, MATCH(C21,IndividualPredictions!A2:A999, 0))</f>
        <v>/intake/new-patient/mensah-esi/predictions/pred-e</v>
      </c>
      <c r="I21" s="3" t="str">
        <f>H21 &amp; "/bins/" &amp; A21</f>
        <v>/intake/new-patient/mensah-esi/predictions/pred-e/bins/cb-e-4</v>
      </c>
      <c r="J21" s="3">
        <f>IF(D21 &gt;= E21, D21 - E21, E21 - D21)</f>
        <v>0.010000000000000009</v>
      </c>
      <c r="K21" s="3" t="b">
        <f>IF(AND(F21 &gt;= 20, J21 &lt;= 0.1), TRUE(), FALSE())</f>
        <v>1</v>
      </c>
      <c r="L21" s="2" t="s">
        <v>674</v>
      </c>
    </row>
    <row r="22">
      <c r="A22" s="2" t="s">
        <v>679</v>
      </c>
      <c r="B22" s="2" t="s">
        <v>679</v>
      </c>
      <c r="C22" s="2" t="s">
        <v>640</v>
      </c>
      <c r="D22" s="2">
        <v>0.1</v>
      </c>
      <c r="E22" s="2">
        <v>0.12</v>
      </c>
      <c r="F22" s="5">
        <v>32</v>
      </c>
      <c r="G22" s="3" t="str">
        <f>B22</f>
        <v>cb-f-0</v>
      </c>
      <c r="H22" s="3" t="str">
        <f>INDEX(IndividualPredictions!H2:H999, MATCH(C22,IndividualPredictions!A2:A999, 0))</f>
        <v>/intake/new-patient/haidar-faisal/predictions/pred-f</v>
      </c>
      <c r="I22" s="3" t="str">
        <f>H22 &amp; "/bins/" &amp; A22</f>
        <v>/intake/new-patient/haidar-faisal/predictions/pred-f/bins/cb-f-0</v>
      </c>
      <c r="J22" s="3">
        <f>IF(D22 &gt;= E22, D22 - E22, E22 - D22)</f>
        <v>0.01999999999999999</v>
      </c>
      <c r="K22" s="3" t="b">
        <f>IF(AND(F22 &gt;= 20, J22 &lt;= 0.1), TRUE(), FALSE())</f>
        <v>1</v>
      </c>
      <c r="L22" s="2" t="s">
        <v>680</v>
      </c>
    </row>
    <row r="23">
      <c r="A23" s="2" t="s">
        <v>681</v>
      </c>
      <c r="B23" s="2" t="s">
        <v>681</v>
      </c>
      <c r="C23" s="2" t="s">
        <v>640</v>
      </c>
      <c r="D23" s="2">
        <v>0.3</v>
      </c>
      <c r="E23" s="2">
        <v>0.3</v>
      </c>
      <c r="F23" s="5">
        <v>35</v>
      </c>
      <c r="G23" s="3" t="str">
        <f>B23</f>
        <v>cb-f-1</v>
      </c>
      <c r="H23" s="3" t="str">
        <f>INDEX(IndividualPredictions!H2:H999, MATCH(C23,IndividualPredictions!A2:A999, 0))</f>
        <v>/intake/new-patient/haidar-faisal/predictions/pred-f</v>
      </c>
      <c r="I23" s="3" t="str">
        <f>H23 &amp; "/bins/" &amp; A23</f>
        <v>/intake/new-patient/haidar-faisal/predictions/pred-f/bins/cb-f-1</v>
      </c>
      <c r="J23" s="3">
        <f>IF(D23 &gt;= E23, D23 - E23, E23 - D23)</f>
        <v>0</v>
      </c>
      <c r="K23" s="3" t="b">
        <f>IF(AND(F23 &gt;= 20, J23 &lt;= 0.1), TRUE(), FALSE())</f>
        <v>1</v>
      </c>
      <c r="L23" s="2" t="s">
        <v>680</v>
      </c>
    </row>
    <row r="24">
      <c r="A24" s="2" t="s">
        <v>682</v>
      </c>
      <c r="B24" s="2" t="s">
        <v>682</v>
      </c>
      <c r="C24" s="2" t="s">
        <v>640</v>
      </c>
      <c r="D24" s="2">
        <v>0.5</v>
      </c>
      <c r="E24" s="2">
        <v>0.48</v>
      </c>
      <c r="F24" s="5">
        <v>31</v>
      </c>
      <c r="G24" s="3" t="str">
        <f>B24</f>
        <v>cb-f-2</v>
      </c>
      <c r="H24" s="3" t="str">
        <f>INDEX(IndividualPredictions!H2:H999, MATCH(C24,IndividualPredictions!A2:A999, 0))</f>
        <v>/intake/new-patient/haidar-faisal/predictions/pred-f</v>
      </c>
      <c r="I24" s="3" t="str">
        <f>H24 &amp; "/bins/" &amp; A24</f>
        <v>/intake/new-patient/haidar-faisal/predictions/pred-f/bins/cb-f-2</v>
      </c>
      <c r="J24" s="3">
        <f>IF(D24 &gt;= E24, D24 - E24, E24 - D24)</f>
        <v>0.020000000000000018</v>
      </c>
      <c r="K24" s="3" t="b">
        <f>IF(AND(F24 &gt;= 20, J24 &lt;= 0.1), TRUE(), FALSE())</f>
        <v>1</v>
      </c>
      <c r="L24" s="2" t="s">
        <v>680</v>
      </c>
    </row>
    <row r="25">
      <c r="A25" s="2" t="s">
        <v>683</v>
      </c>
      <c r="B25" s="2" t="s">
        <v>683</v>
      </c>
      <c r="C25" s="2" t="s">
        <v>640</v>
      </c>
      <c r="D25" s="2">
        <v>0.7</v>
      </c>
      <c r="E25" s="2">
        <v>0.7</v>
      </c>
      <c r="F25" s="5">
        <v>34</v>
      </c>
      <c r="G25" s="3" t="str">
        <f>B25</f>
        <v>cb-f-3</v>
      </c>
      <c r="H25" s="3" t="str">
        <f>INDEX(IndividualPredictions!H2:H999, MATCH(C25,IndividualPredictions!A2:A999, 0))</f>
        <v>/intake/new-patient/haidar-faisal/predictions/pred-f</v>
      </c>
      <c r="I25" s="3" t="str">
        <f>H25 &amp; "/bins/" &amp; A25</f>
        <v>/intake/new-patient/haidar-faisal/predictions/pred-f/bins/cb-f-3</v>
      </c>
      <c r="J25" s="3">
        <f>IF(D25 &gt;= E25, D25 - E25, E25 - D25)</f>
        <v>0</v>
      </c>
      <c r="K25" s="3" t="b">
        <f>IF(AND(F25 &gt;= 20, J25 &lt;= 0.1), TRUE(), FALSE())</f>
        <v>1</v>
      </c>
      <c r="L25" s="2" t="s">
        <v>680</v>
      </c>
    </row>
    <row r="26">
      <c r="A26" s="2" t="s">
        <v>684</v>
      </c>
      <c r="B26" s="2" t="s">
        <v>684</v>
      </c>
      <c r="C26" s="2" t="s">
        <v>640</v>
      </c>
      <c r="D26" s="2">
        <v>0.9</v>
      </c>
      <c r="E26" s="2">
        <v>0.93</v>
      </c>
      <c r="F26" s="5">
        <v>30</v>
      </c>
      <c r="G26" s="3" t="str">
        <f>B26</f>
        <v>cb-f-4</v>
      </c>
      <c r="H26" s="3" t="str">
        <f>INDEX(IndividualPredictions!H2:H999, MATCH(C26,IndividualPredictions!A2:A999, 0))</f>
        <v>/intake/new-patient/haidar-faisal/predictions/pred-f</v>
      </c>
      <c r="I26" s="3" t="str">
        <f>H26 &amp; "/bins/" &amp; A26</f>
        <v>/intake/new-patient/haidar-faisal/predictions/pred-f/bins/cb-f-4</v>
      </c>
      <c r="J26" s="3">
        <f>IF(D26 &gt;= E26, D26 - E26, E26 - D26)</f>
        <v>0.030000000000000027</v>
      </c>
      <c r="K26" s="3" t="b">
        <f>IF(AND(F26 &gt;= 20, J26 &lt;= 0.1), TRUE(), FALSE())</f>
        <v>1</v>
      </c>
      <c r="L26" s="2" t="s">
        <v>680</v>
      </c>
    </row>
    <row r="27">
      <c r="A27" s="2" t="s">
        <v>685</v>
      </c>
      <c r="B27" s="2" t="s">
        <v>685</v>
      </c>
      <c r="C27" s="2" t="s">
        <v>641</v>
      </c>
      <c r="D27" s="2">
        <v>0.1</v>
      </c>
      <c r="E27" s="2">
        <v>0.09</v>
      </c>
      <c r="F27" s="5">
        <v>33</v>
      </c>
      <c r="G27" s="3" t="str">
        <f>B27</f>
        <v>cb-g-0</v>
      </c>
      <c r="H27" s="3" t="str">
        <f>INDEX(IndividualPredictions!H2:H999, MATCH(C27,IndividualPredictions!A2:A999, 0))</f>
        <v>/intake/new-patient/lin-grace/predictions/pred-g</v>
      </c>
      <c r="I27" s="3" t="str">
        <f>H27 &amp; "/bins/" &amp; A27</f>
        <v>/intake/new-patient/lin-grace/predictions/pred-g/bins/cb-g-0</v>
      </c>
      <c r="J27" s="3">
        <f>IF(D27 &gt;= E27, D27 - E27, E27 - D27)</f>
        <v>0.010000000000000009</v>
      </c>
      <c r="K27" s="3" t="b">
        <f>IF(AND(F27 &gt;= 20, J27 &lt;= 0.1), TRUE(), FALSE())</f>
        <v>1</v>
      </c>
      <c r="L27" s="2" t="s">
        <v>668</v>
      </c>
    </row>
    <row r="28">
      <c r="A28" s="2" t="s">
        <v>686</v>
      </c>
      <c r="B28" s="2" t="s">
        <v>686</v>
      </c>
      <c r="C28" s="2" t="s">
        <v>641</v>
      </c>
      <c r="D28" s="2">
        <v>0.3</v>
      </c>
      <c r="E28" s="2">
        <v>0.31</v>
      </c>
      <c r="F28" s="5">
        <v>36</v>
      </c>
      <c r="G28" s="3" t="str">
        <f>B28</f>
        <v>cb-g-1</v>
      </c>
      <c r="H28" s="3" t="str">
        <f>INDEX(IndividualPredictions!H2:H999, MATCH(C28,IndividualPredictions!A2:A999, 0))</f>
        <v>/intake/new-patient/lin-grace/predictions/pred-g</v>
      </c>
      <c r="I28" s="3" t="str">
        <f>H28 &amp; "/bins/" &amp; A28</f>
        <v>/intake/new-patient/lin-grace/predictions/pred-g/bins/cb-g-1</v>
      </c>
      <c r="J28" s="3">
        <f>IF(D28 &gt;= E28, D28 - E28, E28 - D28)</f>
        <v>0.010000000000000009</v>
      </c>
      <c r="K28" s="3" t="b">
        <f>IF(AND(F28 &gt;= 20, J28 &lt;= 0.1), TRUE(), FALSE())</f>
        <v>1</v>
      </c>
      <c r="L28" s="2" t="s">
        <v>668</v>
      </c>
    </row>
    <row r="29">
      <c r="A29" s="2" t="s">
        <v>687</v>
      </c>
      <c r="B29" s="2" t="s">
        <v>687</v>
      </c>
      <c r="C29" s="2" t="s">
        <v>641</v>
      </c>
      <c r="D29" s="2">
        <v>0.5</v>
      </c>
      <c r="E29" s="2">
        <v>0.52</v>
      </c>
      <c r="F29" s="5">
        <v>30</v>
      </c>
      <c r="G29" s="3" t="str">
        <f>B29</f>
        <v>cb-g-2</v>
      </c>
      <c r="H29" s="3" t="str">
        <f>INDEX(IndividualPredictions!H2:H999, MATCH(C29,IndividualPredictions!A2:A999, 0))</f>
        <v>/intake/new-patient/lin-grace/predictions/pred-g</v>
      </c>
      <c r="I29" s="3" t="str">
        <f>H29 &amp; "/bins/" &amp; A29</f>
        <v>/intake/new-patient/lin-grace/predictions/pred-g/bins/cb-g-2</v>
      </c>
      <c r="J29" s="3">
        <f>IF(D29 &gt;= E29, D29 - E29, E29 - D29)</f>
        <v>0.020000000000000018</v>
      </c>
      <c r="K29" s="3" t="b">
        <f>IF(AND(F29 &gt;= 20, J29 &lt;= 0.1), TRUE(), FALSE())</f>
        <v>1</v>
      </c>
      <c r="L29" s="2" t="s">
        <v>668</v>
      </c>
    </row>
    <row r="30">
      <c r="A30" s="2" t="s">
        <v>688</v>
      </c>
      <c r="B30" s="2" t="s">
        <v>688</v>
      </c>
      <c r="C30" s="2" t="s">
        <v>641</v>
      </c>
      <c r="D30" s="2">
        <v>0.7</v>
      </c>
      <c r="E30" s="2">
        <v>0.68</v>
      </c>
      <c r="F30" s="5">
        <v>35</v>
      </c>
      <c r="G30" s="3" t="str">
        <f>B30</f>
        <v>cb-g-3</v>
      </c>
      <c r="H30" s="3" t="str">
        <f>INDEX(IndividualPredictions!H2:H999, MATCH(C30,IndividualPredictions!A2:A999, 0))</f>
        <v>/intake/new-patient/lin-grace/predictions/pred-g</v>
      </c>
      <c r="I30" s="3" t="str">
        <f>H30 &amp; "/bins/" &amp; A30</f>
        <v>/intake/new-patient/lin-grace/predictions/pred-g/bins/cb-g-3</v>
      </c>
      <c r="J30" s="3">
        <f>IF(D30 &gt;= E30, D30 - E30, E30 - D30)</f>
        <v>0.019999999999999907</v>
      </c>
      <c r="K30" s="3" t="b">
        <f>IF(AND(F30 &gt;= 20, J30 &lt;= 0.1), TRUE(), FALSE())</f>
        <v>1</v>
      </c>
      <c r="L30" s="2" t="s">
        <v>668</v>
      </c>
    </row>
    <row r="31">
      <c r="A31" s="2" t="s">
        <v>689</v>
      </c>
      <c r="B31" s="2" t="s">
        <v>689</v>
      </c>
      <c r="C31" s="2" t="s">
        <v>641</v>
      </c>
      <c r="D31" s="2">
        <v>0.9</v>
      </c>
      <c r="E31" s="2">
        <v>0.92</v>
      </c>
      <c r="F31" s="5">
        <v>32</v>
      </c>
      <c r="G31" s="3" t="str">
        <f>B31</f>
        <v>cb-g-4</v>
      </c>
      <c r="H31" s="3" t="str">
        <f>INDEX(IndividualPredictions!H2:H999, MATCH(C31,IndividualPredictions!A2:A999, 0))</f>
        <v>/intake/new-patient/lin-grace/predictions/pred-g</v>
      </c>
      <c r="I31" s="3" t="str">
        <f>H31 &amp; "/bins/" &amp; A31</f>
        <v>/intake/new-patient/lin-grace/predictions/pred-g/bins/cb-g-4</v>
      </c>
      <c r="J31" s="3">
        <f>IF(D31 &gt;= E31, D31 - E31, E31 - D31)</f>
        <v>0.020000000000000018</v>
      </c>
      <c r="K31" s="3" t="b">
        <f>IF(AND(F31 &gt;= 20, J31 &lt;= 0.1), TRUE(), FALSE())</f>
        <v>1</v>
      </c>
      <c r="L31" s="2" t="s">
        <v>668</v>
      </c>
    </row>
    <row r="32">
      <c r="A32" s="2" t="s">
        <v>690</v>
      </c>
      <c r="B32" s="2" t="s">
        <v>690</v>
      </c>
      <c r="C32" s="2" t="s">
        <v>636</v>
      </c>
      <c r="D32" s="2">
        <v>0.1</v>
      </c>
      <c r="E32" s="2">
        <v>0.07</v>
      </c>
      <c r="F32" s="5">
        <v>11</v>
      </c>
      <c r="G32" s="3" t="str">
        <f>B32</f>
        <v>cb-b-0</v>
      </c>
      <c r="H32" s="3" t="str">
        <f>INDEX(IndividualPredictions!H2:H999, MATCH(C32,IndividualPredictions!A2:A999, 0))</f>
        <v>/intake/new-patient/okafor-bili/predictions/pred-b</v>
      </c>
      <c r="I32" s="3" t="str">
        <f>H32 &amp; "/bins/" &amp; A32</f>
        <v>/intake/new-patient/okafor-bili/predictions/pred-b/bins/cb-b-0</v>
      </c>
      <c r="J32" s="3">
        <f>IF(D32 &gt;= E32, D32 - E32, E32 - D32)</f>
        <v>0.03</v>
      </c>
      <c r="K32" s="3" t="b">
        <f>IF(AND(F32 &gt;= 20, J32 &lt;= 0.1), TRUE(), FALSE())</f>
        <v>0</v>
      </c>
      <c r="L32" s="2" t="s">
        <v>691</v>
      </c>
    </row>
    <row r="33">
      <c r="A33" s="2" t="s">
        <v>692</v>
      </c>
      <c r="B33" s="2" t="s">
        <v>692</v>
      </c>
      <c r="C33" s="2" t="s">
        <v>636</v>
      </c>
      <c r="D33" s="2">
        <v>0.3</v>
      </c>
      <c r="E33" s="2">
        <v>0.33</v>
      </c>
      <c r="F33" s="5">
        <v>9</v>
      </c>
      <c r="G33" s="3" t="str">
        <f>B33</f>
        <v>cb-b-1</v>
      </c>
      <c r="H33" s="3" t="str">
        <f>INDEX(IndividualPredictions!H2:H999, MATCH(C33,IndividualPredictions!A2:A999, 0))</f>
        <v>/intake/new-patient/okafor-bili/predictions/pred-b</v>
      </c>
      <c r="I33" s="3" t="str">
        <f>H33 &amp; "/bins/" &amp; A33</f>
        <v>/intake/new-patient/okafor-bili/predictions/pred-b/bins/cb-b-1</v>
      </c>
      <c r="J33" s="3">
        <f>IF(D33 &gt;= E33, D33 - E33, E33 - D33)</f>
        <v>0.030000000000000027</v>
      </c>
      <c r="K33" s="3" t="b">
        <f>IF(AND(F33 &gt;= 20, J33 &lt;= 0.1), TRUE(), FALSE())</f>
        <v>0</v>
      </c>
      <c r="L33" s="2" t="s">
        <v>691</v>
      </c>
    </row>
    <row r="34">
      <c r="A34" s="2" t="s">
        <v>693</v>
      </c>
      <c r="B34" s="2" t="s">
        <v>693</v>
      </c>
      <c r="C34" s="2" t="s">
        <v>636</v>
      </c>
      <c r="D34" s="2">
        <v>0.5</v>
      </c>
      <c r="E34" s="2">
        <v>0.55</v>
      </c>
      <c r="F34" s="5">
        <v>14</v>
      </c>
      <c r="G34" s="3" t="str">
        <f>B34</f>
        <v>cb-b-2</v>
      </c>
      <c r="H34" s="3" t="str">
        <f>INDEX(IndividualPredictions!H2:H999, MATCH(C34,IndividualPredictions!A2:A999, 0))</f>
        <v>/intake/new-patient/okafor-bili/predictions/pred-b</v>
      </c>
      <c r="I34" s="3" t="str">
        <f>H34 &amp; "/bins/" &amp; A34</f>
        <v>/intake/new-patient/okafor-bili/predictions/pred-b/bins/cb-b-2</v>
      </c>
      <c r="J34" s="3">
        <f>IF(D34 &gt;= E34, D34 - E34, E34 - D34)</f>
        <v>0.050000000000000044</v>
      </c>
      <c r="K34" s="3" t="b">
        <f>IF(AND(F34 &gt;= 20, J34 &lt;= 0.1), TRUE(), FALSE())</f>
        <v>0</v>
      </c>
      <c r="L34" s="2" t="s">
        <v>691</v>
      </c>
    </row>
    <row r="35">
      <c r="A35" s="2" t="s">
        <v>694</v>
      </c>
      <c r="B35" s="2" t="s">
        <v>694</v>
      </c>
      <c r="C35" s="2" t="s">
        <v>636</v>
      </c>
      <c r="D35" s="2">
        <v>0.7</v>
      </c>
      <c r="E35" s="2">
        <v>0.66</v>
      </c>
      <c r="F35" s="5">
        <v>7</v>
      </c>
      <c r="G35" s="3" t="str">
        <f>B35</f>
        <v>cb-b-3</v>
      </c>
      <c r="H35" s="3" t="str">
        <f>INDEX(IndividualPredictions!H2:H999, MATCH(C35,IndividualPredictions!A2:A999, 0))</f>
        <v>/intake/new-patient/okafor-bili/predictions/pred-b</v>
      </c>
      <c r="I35" s="3" t="str">
        <f>H35 &amp; "/bins/" &amp; A35</f>
        <v>/intake/new-patient/okafor-bili/predictions/pred-b/bins/cb-b-3</v>
      </c>
      <c r="J35" s="3">
        <f>IF(D35 &gt;= E35, D35 - E35, E35 - D35)</f>
        <v>0.039999999999999925</v>
      </c>
      <c r="K35" s="3" t="b">
        <f>IF(AND(F35 &gt;= 20, J35 &lt;= 0.1), TRUE(), FALSE())</f>
        <v>0</v>
      </c>
      <c r="L35" s="2" t="s">
        <v>691</v>
      </c>
    </row>
    <row r="36">
      <c r="A36" s="2" t="s">
        <v>695</v>
      </c>
      <c r="B36" s="2" t="s">
        <v>695</v>
      </c>
      <c r="C36" s="2" t="s">
        <v>636</v>
      </c>
      <c r="D36" s="2">
        <v>0.9</v>
      </c>
      <c r="E36" s="2">
        <v>0.93</v>
      </c>
      <c r="F36" s="5">
        <v>12</v>
      </c>
      <c r="G36" s="3" t="str">
        <f>B36</f>
        <v>cb-b-4</v>
      </c>
      <c r="H36" s="3" t="str">
        <f>INDEX(IndividualPredictions!H2:H999, MATCH(C36,IndividualPredictions!A2:A999, 0))</f>
        <v>/intake/new-patient/okafor-bili/predictions/pred-b</v>
      </c>
      <c r="I36" s="3" t="str">
        <f>H36 &amp; "/bins/" &amp; A36</f>
        <v>/intake/new-patient/okafor-bili/predictions/pred-b/bins/cb-b-4</v>
      </c>
      <c r="J36" s="3">
        <f>IF(D36 &gt;= E36, D36 - E36, E36 - D36)</f>
        <v>0.030000000000000027</v>
      </c>
      <c r="K36" s="3" t="b">
        <f>IF(AND(F36 &gt;= 20, J36 &lt;= 0.1), TRUE(), FALSE())</f>
        <v>0</v>
      </c>
      <c r="L36" s="2" t="s">
        <v>691</v>
      </c>
    </row>
    <row r="37">
      <c r="A37" s="2" t="s">
        <v>696</v>
      </c>
      <c r="B37" s="2" t="s">
        <v>696</v>
      </c>
      <c r="C37" s="2" t="s">
        <v>642</v>
      </c>
      <c r="D37" s="2">
        <v>0.1</v>
      </c>
      <c r="E37" s="2">
        <v>0.09</v>
      </c>
      <c r="F37" s="5">
        <v>34</v>
      </c>
      <c r="G37" s="3" t="str">
        <f>B37</f>
        <v>cb-h-0</v>
      </c>
      <c r="H37" s="3" t="str">
        <f>INDEX(IndividualPredictions!H2:H999, MATCH(C37,IndividualPredictions!A2:A999, 0))</f>
        <v>/intake/new-patient/yamamoto-hana/predictions/pred-h</v>
      </c>
      <c r="I37" s="3" t="str">
        <f>H37 &amp; "/bins/" &amp; A37</f>
        <v>/intake/new-patient/yamamoto-hana/predictions/pred-h/bins/cb-h-0</v>
      </c>
      <c r="J37" s="3">
        <f>IF(D37 &gt;= E37, D37 - E37, E37 - D37)</f>
        <v>0.010000000000000009</v>
      </c>
      <c r="K37" s="3" t="b">
        <f>IF(AND(F37 &gt;= 20, J37 &lt;= 0.1), TRUE(), FALSE())</f>
        <v>1</v>
      </c>
      <c r="L37" s="2" t="s">
        <v>656</v>
      </c>
    </row>
    <row r="38">
      <c r="A38" s="2" t="s">
        <v>697</v>
      </c>
      <c r="B38" s="2" t="s">
        <v>697</v>
      </c>
      <c r="C38" s="2" t="s">
        <v>642</v>
      </c>
      <c r="D38" s="2">
        <v>0.3</v>
      </c>
      <c r="E38" s="2">
        <v>0.31</v>
      </c>
      <c r="F38" s="5">
        <v>31</v>
      </c>
      <c r="G38" s="3" t="str">
        <f>B38</f>
        <v>cb-h-1</v>
      </c>
      <c r="H38" s="3" t="str">
        <f>INDEX(IndividualPredictions!H2:H999, MATCH(C38,IndividualPredictions!A2:A999, 0))</f>
        <v>/intake/new-patient/yamamoto-hana/predictions/pred-h</v>
      </c>
      <c r="I38" s="3" t="str">
        <f>H38 &amp; "/bins/" &amp; A38</f>
        <v>/intake/new-patient/yamamoto-hana/predictions/pred-h/bins/cb-h-1</v>
      </c>
      <c r="J38" s="3">
        <f>IF(D38 &gt;= E38, D38 - E38, E38 - D38)</f>
        <v>0.010000000000000009</v>
      </c>
      <c r="K38" s="3" t="b">
        <f>IF(AND(F38 &gt;= 20, J38 &lt;= 0.1), TRUE(), FALSE())</f>
        <v>1</v>
      </c>
      <c r="L38" s="2" t="s">
        <v>656</v>
      </c>
    </row>
    <row r="39">
      <c r="A39" s="2" t="s">
        <v>698</v>
      </c>
      <c r="B39" s="2" t="s">
        <v>698</v>
      </c>
      <c r="C39" s="2" t="s">
        <v>642</v>
      </c>
      <c r="D39" s="2">
        <v>0.5</v>
      </c>
      <c r="E39" s="2">
        <v>0.49</v>
      </c>
      <c r="F39" s="5">
        <v>29</v>
      </c>
      <c r="G39" s="3" t="str">
        <f>B39</f>
        <v>cb-h-2</v>
      </c>
      <c r="H39" s="3" t="str">
        <f>INDEX(IndividualPredictions!H2:H999, MATCH(C39,IndividualPredictions!A2:A999, 0))</f>
        <v>/intake/new-patient/yamamoto-hana/predictions/pred-h</v>
      </c>
      <c r="I39" s="3" t="str">
        <f>H39 &amp; "/bins/" &amp; A39</f>
        <v>/intake/new-patient/yamamoto-hana/predictions/pred-h/bins/cb-h-2</v>
      </c>
      <c r="J39" s="3">
        <f>IF(D39 &gt;= E39, D39 - E39, E39 - D39)</f>
        <v>0.010000000000000009</v>
      </c>
      <c r="K39" s="3" t="b">
        <f>IF(AND(F39 &gt;= 20, J39 &lt;= 0.1), TRUE(), FALSE())</f>
        <v>1</v>
      </c>
      <c r="L39" s="2" t="s">
        <v>656</v>
      </c>
    </row>
    <row r="40">
      <c r="A40" s="2" t="s">
        <v>699</v>
      </c>
      <c r="B40" s="2" t="s">
        <v>699</v>
      </c>
      <c r="C40" s="2" t="s">
        <v>642</v>
      </c>
      <c r="D40" s="2">
        <v>0.7</v>
      </c>
      <c r="E40" s="2">
        <v>0.71</v>
      </c>
      <c r="F40" s="5">
        <v>33</v>
      </c>
      <c r="G40" s="3" t="str">
        <f>B40</f>
        <v>cb-h-3</v>
      </c>
      <c r="H40" s="3" t="str">
        <f>INDEX(IndividualPredictions!H2:H999, MATCH(C40,IndividualPredictions!A2:A999, 0))</f>
        <v>/intake/new-patient/yamamoto-hana/predictions/pred-h</v>
      </c>
      <c r="I40" s="3" t="str">
        <f>H40 &amp; "/bins/" &amp; A40</f>
        <v>/intake/new-patient/yamamoto-hana/predictions/pred-h/bins/cb-h-3</v>
      </c>
      <c r="J40" s="3">
        <f>IF(D40 &gt;= E40, D40 - E40, E40 - D40)</f>
        <v>0.010000000000000009</v>
      </c>
      <c r="K40" s="3" t="b">
        <f>IF(AND(F40 &gt;= 20, J40 &lt;= 0.1), TRUE(), FALSE())</f>
        <v>1</v>
      </c>
      <c r="L40" s="2" t="s">
        <v>656</v>
      </c>
    </row>
    <row r="41">
      <c r="A41" s="2" t="s">
        <v>700</v>
      </c>
      <c r="B41" s="2" t="s">
        <v>700</v>
      </c>
      <c r="C41" s="2" t="s">
        <v>642</v>
      </c>
      <c r="D41" s="2">
        <v>0.9</v>
      </c>
      <c r="E41" s="2">
        <v>0.88</v>
      </c>
      <c r="F41" s="5">
        <v>30</v>
      </c>
      <c r="G41" s="3" t="str">
        <f>B41</f>
        <v>cb-h-4</v>
      </c>
      <c r="H41" s="3" t="str">
        <f>INDEX(IndividualPredictions!H2:H999, MATCH(C41,IndividualPredictions!A2:A999, 0))</f>
        <v>/intake/new-patient/yamamoto-hana/predictions/pred-h</v>
      </c>
      <c r="I41" s="3" t="str">
        <f>H41 &amp; "/bins/" &amp; A41</f>
        <v>/intake/new-patient/yamamoto-hana/predictions/pred-h/bins/cb-h-4</v>
      </c>
      <c r="J41" s="3">
        <f>IF(D41 &gt;= E41, D41 - E41, E41 - D41)</f>
        <v>0.020000000000000018</v>
      </c>
      <c r="K41" s="3" t="b">
        <f>IF(AND(F41 &gt;= 20, J41 &lt;= 0.1), TRUE(), FALSE())</f>
        <v>1</v>
      </c>
      <c r="L41" s="2" t="s">
        <v>656</v>
      </c>
    </row>
    <row r="42">
      <c r="A42" s="2" t="s">
        <v>701</v>
      </c>
      <c r="B42" s="2" t="s">
        <v>701</v>
      </c>
      <c r="C42" s="2" t="s">
        <v>643</v>
      </c>
      <c r="D42" s="2">
        <v>0.1</v>
      </c>
      <c r="E42" s="2">
        <v>0.08</v>
      </c>
      <c r="F42" s="5">
        <v>36</v>
      </c>
      <c r="G42" s="3" t="str">
        <f>B42</f>
        <v>cb-i-0</v>
      </c>
      <c r="H42" s="3" t="str">
        <f>INDEX(IndividualPredictions!H2:H999, MATCH(C42,IndividualPredictions!A2:A999, 0))</f>
        <v>/intake/new-patient/conteh-ibrahim/predictions/pred-i</v>
      </c>
      <c r="I42" s="3" t="str">
        <f>H42 &amp; "/bins/" &amp; A42</f>
        <v>/intake/new-patient/conteh-ibrahim/predictions/pred-i/bins/cb-i-0</v>
      </c>
      <c r="J42" s="3">
        <f>IF(D42 &gt;= E42, D42 - E42, E42 - D42)</f>
        <v>0.020000000000000004</v>
      </c>
      <c r="K42" s="3" t="b">
        <f>IF(AND(F42 &gt;= 20, J42 &lt;= 0.1), TRUE(), FALSE())</f>
        <v>1</v>
      </c>
      <c r="L42" s="2" t="s">
        <v>668</v>
      </c>
    </row>
    <row r="43">
      <c r="A43" s="2" t="s">
        <v>702</v>
      </c>
      <c r="B43" s="2" t="s">
        <v>702</v>
      </c>
      <c r="C43" s="2" t="s">
        <v>643</v>
      </c>
      <c r="D43" s="2">
        <v>0.3</v>
      </c>
      <c r="E43" s="2">
        <v>0.32</v>
      </c>
      <c r="F43" s="5">
        <v>33</v>
      </c>
      <c r="G43" s="3" t="str">
        <f>B43</f>
        <v>cb-i-1</v>
      </c>
      <c r="H43" s="3" t="str">
        <f>INDEX(IndividualPredictions!H2:H999, MATCH(C43,IndividualPredictions!A2:A999, 0))</f>
        <v>/intake/new-patient/conteh-ibrahim/predictions/pred-i</v>
      </c>
      <c r="I43" s="3" t="str">
        <f>H43 &amp; "/bins/" &amp; A43</f>
        <v>/intake/new-patient/conteh-ibrahim/predictions/pred-i/bins/cb-i-1</v>
      </c>
      <c r="J43" s="3">
        <f>IF(D43 &gt;= E43, D43 - E43, E43 - D43)</f>
        <v>0.020000000000000018</v>
      </c>
      <c r="K43" s="3" t="b">
        <f>IF(AND(F43 &gt;= 20, J43 &lt;= 0.1), TRUE(), FALSE())</f>
        <v>1</v>
      </c>
      <c r="L43" s="2" t="s">
        <v>668</v>
      </c>
    </row>
    <row r="44">
      <c r="A44" s="2" t="s">
        <v>703</v>
      </c>
      <c r="B44" s="2" t="s">
        <v>703</v>
      </c>
      <c r="C44" s="2" t="s">
        <v>643</v>
      </c>
      <c r="D44" s="2">
        <v>0.5</v>
      </c>
      <c r="E44" s="2">
        <v>0.5</v>
      </c>
      <c r="F44" s="5">
        <v>35</v>
      </c>
      <c r="G44" s="3" t="str">
        <f>B44</f>
        <v>cb-i-2</v>
      </c>
      <c r="H44" s="3" t="str">
        <f>INDEX(IndividualPredictions!H2:H999, MATCH(C44,IndividualPredictions!A2:A999, 0))</f>
        <v>/intake/new-patient/conteh-ibrahim/predictions/pred-i</v>
      </c>
      <c r="I44" s="3" t="str">
        <f>H44 &amp; "/bins/" &amp; A44</f>
        <v>/intake/new-patient/conteh-ibrahim/predictions/pred-i/bins/cb-i-2</v>
      </c>
      <c r="J44" s="3">
        <f>IF(D44 &gt;= E44, D44 - E44, E44 - D44)</f>
        <v>0</v>
      </c>
      <c r="K44" s="3" t="b">
        <f>IF(AND(F44 &gt;= 20, J44 &lt;= 0.1), TRUE(), FALSE())</f>
        <v>1</v>
      </c>
      <c r="L44" s="2" t="s">
        <v>668</v>
      </c>
    </row>
    <row r="45">
      <c r="A45" s="2" t="s">
        <v>704</v>
      </c>
      <c r="B45" s="2" t="s">
        <v>704</v>
      </c>
      <c r="C45" s="2" t="s">
        <v>643</v>
      </c>
      <c r="D45" s="2">
        <v>0.7</v>
      </c>
      <c r="E45" s="2">
        <v>0.69</v>
      </c>
      <c r="F45" s="5">
        <v>30</v>
      </c>
      <c r="G45" s="3" t="str">
        <f>B45</f>
        <v>cb-i-3</v>
      </c>
      <c r="H45" s="3" t="str">
        <f>INDEX(IndividualPredictions!H2:H999, MATCH(C45,IndividualPredictions!A2:A999, 0))</f>
        <v>/intake/new-patient/conteh-ibrahim/predictions/pred-i</v>
      </c>
      <c r="I45" s="3" t="str">
        <f>H45 &amp; "/bins/" &amp; A45</f>
        <v>/intake/new-patient/conteh-ibrahim/predictions/pred-i/bins/cb-i-3</v>
      </c>
      <c r="J45" s="3">
        <f>IF(D45 &gt;= E45, D45 - E45, E45 - D45)</f>
        <v>0.010000000000000009</v>
      </c>
      <c r="K45" s="3" t="b">
        <f>IF(AND(F45 &gt;= 20, J45 &lt;= 0.1), TRUE(), FALSE())</f>
        <v>1</v>
      </c>
      <c r="L45" s="2" t="s">
        <v>668</v>
      </c>
    </row>
    <row r="46">
      <c r="A46" s="2" t="s">
        <v>705</v>
      </c>
      <c r="B46" s="2" t="s">
        <v>705</v>
      </c>
      <c r="C46" s="2" t="s">
        <v>643</v>
      </c>
      <c r="D46" s="2">
        <v>0.9</v>
      </c>
      <c r="E46" s="2">
        <v>0.91</v>
      </c>
      <c r="F46" s="5">
        <v>34</v>
      </c>
      <c r="G46" s="3" t="str">
        <f>B46</f>
        <v>cb-i-4</v>
      </c>
      <c r="H46" s="3" t="str">
        <f>INDEX(IndividualPredictions!H2:H999, MATCH(C46,IndividualPredictions!A2:A999, 0))</f>
        <v>/intake/new-patient/conteh-ibrahim/predictions/pred-i</v>
      </c>
      <c r="I46" s="3" t="str">
        <f>H46 &amp; "/bins/" &amp; A46</f>
        <v>/intake/new-patient/conteh-ibrahim/predictions/pred-i/bins/cb-i-4</v>
      </c>
      <c r="J46" s="3">
        <f>IF(D46 &gt;= E46, D46 - E46, E46 - D46)</f>
        <v>0.010000000000000009</v>
      </c>
      <c r="K46" s="3" t="b">
        <f>IF(AND(F46 &gt;= 20, J46 &lt;= 0.1), TRUE(), FALSE())</f>
        <v>1</v>
      </c>
      <c r="L46" s="2" t="s">
        <v>668</v>
      </c>
    </row>
    <row r="47">
      <c r="A47" s="2" t="s">
        <v>706</v>
      </c>
      <c r="B47" s="2" t="s">
        <v>706</v>
      </c>
      <c r="C47" s="2" t="s">
        <v>644</v>
      </c>
      <c r="D47" s="2">
        <v>0.1</v>
      </c>
      <c r="E47" s="2">
        <v>0.07</v>
      </c>
      <c r="F47" s="5">
        <v>11</v>
      </c>
      <c r="G47" s="3" t="str">
        <f>B47</f>
        <v>cb-j-0</v>
      </c>
      <c r="H47" s="3" t="str">
        <f>INDEX(IndividualPredictions!H2:H999, MATCH(C47,IndividualPredictions!A2:A999, 0))</f>
        <v>/intake/new-patient/brooks-jamal/predictions/pred-j</v>
      </c>
      <c r="I47" s="3" t="str">
        <f>H47 &amp; "/bins/" &amp; A47</f>
        <v>/intake/new-patient/brooks-jamal/predictions/pred-j/bins/cb-j-0</v>
      </c>
      <c r="J47" s="3">
        <f>IF(D47 &gt;= E47, D47 - E47, E47 - D47)</f>
        <v>0.03</v>
      </c>
      <c r="K47" s="3" t="b">
        <f>IF(AND(F47 &gt;= 20, J47 &lt;= 0.1), TRUE(), FALSE())</f>
        <v>0</v>
      </c>
      <c r="L47" s="2" t="s">
        <v>691</v>
      </c>
    </row>
    <row r="48">
      <c r="A48" s="2" t="s">
        <v>707</v>
      </c>
      <c r="B48" s="2" t="s">
        <v>707</v>
      </c>
      <c r="C48" s="2" t="s">
        <v>644</v>
      </c>
      <c r="D48" s="2">
        <v>0.3</v>
      </c>
      <c r="E48" s="2">
        <v>0.33</v>
      </c>
      <c r="F48" s="5">
        <v>9</v>
      </c>
      <c r="G48" s="3" t="str">
        <f>B48</f>
        <v>cb-j-1</v>
      </c>
      <c r="H48" s="3" t="str">
        <f>INDEX(IndividualPredictions!H2:H999, MATCH(C48,IndividualPredictions!A2:A999, 0))</f>
        <v>/intake/new-patient/brooks-jamal/predictions/pred-j</v>
      </c>
      <c r="I48" s="3" t="str">
        <f>H48 &amp; "/bins/" &amp; A48</f>
        <v>/intake/new-patient/brooks-jamal/predictions/pred-j/bins/cb-j-1</v>
      </c>
      <c r="J48" s="3">
        <f>IF(D48 &gt;= E48, D48 - E48, E48 - D48)</f>
        <v>0.030000000000000027</v>
      </c>
      <c r="K48" s="3" t="b">
        <f>IF(AND(F48 &gt;= 20, J48 &lt;= 0.1), TRUE(), FALSE())</f>
        <v>0</v>
      </c>
      <c r="L48" s="2" t="s">
        <v>691</v>
      </c>
    </row>
    <row r="49">
      <c r="A49" s="2" t="s">
        <v>708</v>
      </c>
      <c r="B49" s="2" t="s">
        <v>708</v>
      </c>
      <c r="C49" s="2" t="s">
        <v>644</v>
      </c>
      <c r="D49" s="2">
        <v>0.5</v>
      </c>
      <c r="E49" s="2">
        <v>0.55</v>
      </c>
      <c r="F49" s="5">
        <v>14</v>
      </c>
      <c r="G49" s="3" t="str">
        <f>B49</f>
        <v>cb-j-2</v>
      </c>
      <c r="H49" s="3" t="str">
        <f>INDEX(IndividualPredictions!H2:H999, MATCH(C49,IndividualPredictions!A2:A999, 0))</f>
        <v>/intake/new-patient/brooks-jamal/predictions/pred-j</v>
      </c>
      <c r="I49" s="3" t="str">
        <f>H49 &amp; "/bins/" &amp; A49</f>
        <v>/intake/new-patient/brooks-jamal/predictions/pred-j/bins/cb-j-2</v>
      </c>
      <c r="J49" s="3">
        <f>IF(D49 &gt;= E49, D49 - E49, E49 - D49)</f>
        <v>0.050000000000000044</v>
      </c>
      <c r="K49" s="3" t="b">
        <f>IF(AND(F49 &gt;= 20, J49 &lt;= 0.1), TRUE(), FALSE())</f>
        <v>0</v>
      </c>
      <c r="L49" s="2" t="s">
        <v>691</v>
      </c>
    </row>
    <row r="50">
      <c r="A50" s="2" t="s">
        <v>709</v>
      </c>
      <c r="B50" s="2" t="s">
        <v>709</v>
      </c>
      <c r="C50" s="2" t="s">
        <v>644</v>
      </c>
      <c r="D50" s="2">
        <v>0.7</v>
      </c>
      <c r="E50" s="2">
        <v>0.66</v>
      </c>
      <c r="F50" s="5">
        <v>7</v>
      </c>
      <c r="G50" s="3" t="str">
        <f>B50</f>
        <v>cb-j-3</v>
      </c>
      <c r="H50" s="3" t="str">
        <f>INDEX(IndividualPredictions!H2:H999, MATCH(C50,IndividualPredictions!A2:A999, 0))</f>
        <v>/intake/new-patient/brooks-jamal/predictions/pred-j</v>
      </c>
      <c r="I50" s="3" t="str">
        <f>H50 &amp; "/bins/" &amp; A50</f>
        <v>/intake/new-patient/brooks-jamal/predictions/pred-j/bins/cb-j-3</v>
      </c>
      <c r="J50" s="3">
        <f>IF(D50 &gt;= E50, D50 - E50, E50 - D50)</f>
        <v>0.039999999999999925</v>
      </c>
      <c r="K50" s="3" t="b">
        <f>IF(AND(F50 &gt;= 20, J50 &lt;= 0.1), TRUE(), FALSE())</f>
        <v>0</v>
      </c>
      <c r="L50" s="2" t="s">
        <v>691</v>
      </c>
    </row>
    <row r="51">
      <c r="A51" s="2" t="s">
        <v>710</v>
      </c>
      <c r="B51" s="2" t="s">
        <v>710</v>
      </c>
      <c r="C51" s="2" t="s">
        <v>644</v>
      </c>
      <c r="D51" s="2">
        <v>0.9</v>
      </c>
      <c r="E51" s="2">
        <v>0.93</v>
      </c>
      <c r="F51" s="5">
        <v>12</v>
      </c>
      <c r="G51" s="3" t="str">
        <f>B51</f>
        <v>cb-j-4</v>
      </c>
      <c r="H51" s="3" t="str">
        <f>INDEX(IndividualPredictions!H2:H999, MATCH(C51,IndividualPredictions!A2:A999, 0))</f>
        <v>/intake/new-patient/brooks-jamal/predictions/pred-j</v>
      </c>
      <c r="I51" s="3" t="str">
        <f>H51 &amp; "/bins/" &amp; A51</f>
        <v>/intake/new-patient/brooks-jamal/predictions/pred-j/bins/cb-j-4</v>
      </c>
      <c r="J51" s="3">
        <f>IF(D51 &gt;= E51, D51 - E51, E51 - D51)</f>
        <v>0.030000000000000027</v>
      </c>
      <c r="K51" s="3" t="b">
        <f>IF(AND(F51 &gt;= 20, J51 &lt;= 0.1), TRUE(), FALSE())</f>
        <v>0</v>
      </c>
      <c r="L51" s="2" t="s">
        <v>691</v>
      </c>
    </row>
    <row r="52">
      <c r="A52" s="2" t="s">
        <v>711</v>
      </c>
      <c r="B52" s="2" t="s">
        <v>711</v>
      </c>
      <c r="C52" s="2" t="s">
        <v>645</v>
      </c>
      <c r="D52" s="2">
        <v>0.1</v>
      </c>
      <c r="E52" s="2">
        <v>0.12</v>
      </c>
      <c r="F52" s="5">
        <v>32</v>
      </c>
      <c r="G52" s="3" t="str">
        <f>B52</f>
        <v>cb-k-0</v>
      </c>
      <c r="H52" s="3" t="str">
        <f>INDEX(IndividualPredictions!H2:H999, MATCH(C52,IndividualPredictions!A2:A999, 0))</f>
        <v>/intake/new-patient/nair-kavya/predictions/pred-k</v>
      </c>
      <c r="I52" s="3" t="str">
        <f>H52 &amp; "/bins/" &amp; A52</f>
        <v>/intake/new-patient/nair-kavya/predictions/pred-k/bins/cb-k-0</v>
      </c>
      <c r="J52" s="3">
        <f>IF(D52 &gt;= E52, D52 - E52, E52 - D52)</f>
        <v>0.01999999999999999</v>
      </c>
      <c r="K52" s="3" t="b">
        <f>IF(AND(F52 &gt;= 20, J52 &lt;= 0.1), TRUE(), FALSE())</f>
        <v>1</v>
      </c>
      <c r="L52" s="2" t="s">
        <v>680</v>
      </c>
    </row>
    <row r="53">
      <c r="A53" s="2" t="s">
        <v>712</v>
      </c>
      <c r="B53" s="2" t="s">
        <v>712</v>
      </c>
      <c r="C53" s="2" t="s">
        <v>645</v>
      </c>
      <c r="D53" s="2">
        <v>0.3</v>
      </c>
      <c r="E53" s="2">
        <v>0.3</v>
      </c>
      <c r="F53" s="5">
        <v>35</v>
      </c>
      <c r="G53" s="3" t="str">
        <f>B53</f>
        <v>cb-k-1</v>
      </c>
      <c r="H53" s="3" t="str">
        <f>INDEX(IndividualPredictions!H2:H999, MATCH(C53,IndividualPredictions!A2:A999, 0))</f>
        <v>/intake/new-patient/nair-kavya/predictions/pred-k</v>
      </c>
      <c r="I53" s="3" t="str">
        <f>H53 &amp; "/bins/" &amp; A53</f>
        <v>/intake/new-patient/nair-kavya/predictions/pred-k/bins/cb-k-1</v>
      </c>
      <c r="J53" s="3">
        <f>IF(D53 &gt;= E53, D53 - E53, E53 - D53)</f>
        <v>0</v>
      </c>
      <c r="K53" s="3" t="b">
        <f>IF(AND(F53 &gt;= 20, J53 &lt;= 0.1), TRUE(), FALSE())</f>
        <v>1</v>
      </c>
      <c r="L53" s="2" t="s">
        <v>680</v>
      </c>
    </row>
    <row r="54">
      <c r="A54" s="2" t="s">
        <v>713</v>
      </c>
      <c r="B54" s="2" t="s">
        <v>713</v>
      </c>
      <c r="C54" s="2" t="s">
        <v>645</v>
      </c>
      <c r="D54" s="2">
        <v>0.5</v>
      </c>
      <c r="E54" s="2">
        <v>0.48</v>
      </c>
      <c r="F54" s="5">
        <v>31</v>
      </c>
      <c r="G54" s="3" t="str">
        <f>B54</f>
        <v>cb-k-2</v>
      </c>
      <c r="H54" s="3" t="str">
        <f>INDEX(IndividualPredictions!H2:H999, MATCH(C54,IndividualPredictions!A2:A999, 0))</f>
        <v>/intake/new-patient/nair-kavya/predictions/pred-k</v>
      </c>
      <c r="I54" s="3" t="str">
        <f>H54 &amp; "/bins/" &amp; A54</f>
        <v>/intake/new-patient/nair-kavya/predictions/pred-k/bins/cb-k-2</v>
      </c>
      <c r="J54" s="3">
        <f>IF(D54 &gt;= E54, D54 - E54, E54 - D54)</f>
        <v>0.020000000000000018</v>
      </c>
      <c r="K54" s="3" t="b">
        <f>IF(AND(F54 &gt;= 20, J54 &lt;= 0.1), TRUE(), FALSE())</f>
        <v>1</v>
      </c>
      <c r="L54" s="2" t="s">
        <v>680</v>
      </c>
    </row>
    <row r="55">
      <c r="A55" s="2" t="s">
        <v>714</v>
      </c>
      <c r="B55" s="2" t="s">
        <v>714</v>
      </c>
      <c r="C55" s="2" t="s">
        <v>645</v>
      </c>
      <c r="D55" s="2">
        <v>0.7</v>
      </c>
      <c r="E55" s="2">
        <v>0.7</v>
      </c>
      <c r="F55" s="5">
        <v>34</v>
      </c>
      <c r="G55" s="3" t="str">
        <f>B55</f>
        <v>cb-k-3</v>
      </c>
      <c r="H55" s="3" t="str">
        <f>INDEX(IndividualPredictions!H2:H999, MATCH(C55,IndividualPredictions!A2:A999, 0))</f>
        <v>/intake/new-patient/nair-kavya/predictions/pred-k</v>
      </c>
      <c r="I55" s="3" t="str">
        <f>H55 &amp; "/bins/" &amp; A55</f>
        <v>/intake/new-patient/nair-kavya/predictions/pred-k/bins/cb-k-3</v>
      </c>
      <c r="J55" s="3">
        <f>IF(D55 &gt;= E55, D55 - E55, E55 - D55)</f>
        <v>0</v>
      </c>
      <c r="K55" s="3" t="b">
        <f>IF(AND(F55 &gt;= 20, J55 &lt;= 0.1), TRUE(), FALSE())</f>
        <v>1</v>
      </c>
      <c r="L55" s="2" t="s">
        <v>680</v>
      </c>
    </row>
    <row r="56">
      <c r="A56" s="2" t="s">
        <v>715</v>
      </c>
      <c r="B56" s="2" t="s">
        <v>715</v>
      </c>
      <c r="C56" s="2" t="s">
        <v>645</v>
      </c>
      <c r="D56" s="2">
        <v>0.9</v>
      </c>
      <c r="E56" s="2">
        <v>0.93</v>
      </c>
      <c r="F56" s="5">
        <v>30</v>
      </c>
      <c r="G56" s="3" t="str">
        <f>B56</f>
        <v>cb-k-4</v>
      </c>
      <c r="H56" s="3" t="str">
        <f>INDEX(IndividualPredictions!H2:H999, MATCH(C56,IndividualPredictions!A2:A999, 0))</f>
        <v>/intake/new-patient/nair-kavya/predictions/pred-k</v>
      </c>
      <c r="I56" s="3" t="str">
        <f>H56 &amp; "/bins/" &amp; A56</f>
        <v>/intake/new-patient/nair-kavya/predictions/pred-k/bins/cb-k-4</v>
      </c>
      <c r="J56" s="3">
        <f>IF(D56 &gt;= E56, D56 - E56, E56 - D56)</f>
        <v>0.030000000000000027</v>
      </c>
      <c r="K56" s="3" t="b">
        <f>IF(AND(F56 &gt;= 20, J56 &lt;= 0.1), TRUE(), FALSE())</f>
        <v>1</v>
      </c>
      <c r="L56" s="2" t="s">
        <v>680</v>
      </c>
    </row>
    <row r="57">
      <c r="A57" s="2" t="s">
        <v>716</v>
      </c>
      <c r="B57" s="2" t="s">
        <v>716</v>
      </c>
      <c r="C57" s="2" t="s">
        <v>646</v>
      </c>
      <c r="D57" s="2">
        <v>0.1</v>
      </c>
      <c r="E57" s="2">
        <v>0.09</v>
      </c>
      <c r="F57" s="5">
        <v>33</v>
      </c>
      <c r="G57" s="3" t="str">
        <f>B57</f>
        <v>cb-l-0</v>
      </c>
      <c r="H57" s="3" t="str">
        <f>INDEX(IndividualPredictions!H2:H999, MATCH(C57,IndividualPredictions!A2:A999, 0))</f>
        <v>/intake/new-patient/brandt-lena/predictions/pred-l</v>
      </c>
      <c r="I57" s="3" t="str">
        <f>H57 &amp; "/bins/" &amp; A57</f>
        <v>/intake/new-patient/brandt-lena/predictions/pred-l/bins/cb-l-0</v>
      </c>
      <c r="J57" s="3">
        <f>IF(D57 &gt;= E57, D57 - E57, E57 - D57)</f>
        <v>0.010000000000000009</v>
      </c>
      <c r="K57" s="3" t="b">
        <f>IF(AND(F57 &gt;= 20, J57 &lt;= 0.1), TRUE(), FALSE())</f>
        <v>1</v>
      </c>
      <c r="L57" s="2" t="s">
        <v>668</v>
      </c>
    </row>
    <row r="58">
      <c r="A58" s="2" t="s">
        <v>717</v>
      </c>
      <c r="B58" s="2" t="s">
        <v>717</v>
      </c>
      <c r="C58" s="2" t="s">
        <v>646</v>
      </c>
      <c r="D58" s="2">
        <v>0.3</v>
      </c>
      <c r="E58" s="2">
        <v>0.31</v>
      </c>
      <c r="F58" s="5">
        <v>36</v>
      </c>
      <c r="G58" s="3" t="str">
        <f>B58</f>
        <v>cb-l-1</v>
      </c>
      <c r="H58" s="3" t="str">
        <f>INDEX(IndividualPredictions!H2:H999, MATCH(C58,IndividualPredictions!A2:A999, 0))</f>
        <v>/intake/new-patient/brandt-lena/predictions/pred-l</v>
      </c>
      <c r="I58" s="3" t="str">
        <f>H58 &amp; "/bins/" &amp; A58</f>
        <v>/intake/new-patient/brandt-lena/predictions/pred-l/bins/cb-l-1</v>
      </c>
      <c r="J58" s="3">
        <f>IF(D58 &gt;= E58, D58 - E58, E58 - D58)</f>
        <v>0.010000000000000009</v>
      </c>
      <c r="K58" s="3" t="b">
        <f>IF(AND(F58 &gt;= 20, J58 &lt;= 0.1), TRUE(), FALSE())</f>
        <v>1</v>
      </c>
      <c r="L58" s="2" t="s">
        <v>668</v>
      </c>
    </row>
    <row r="59">
      <c r="A59" s="2" t="s">
        <v>718</v>
      </c>
      <c r="B59" s="2" t="s">
        <v>718</v>
      </c>
      <c r="C59" s="2" t="s">
        <v>646</v>
      </c>
      <c r="D59" s="2">
        <v>0.5</v>
      </c>
      <c r="E59" s="2">
        <v>0.52</v>
      </c>
      <c r="F59" s="5">
        <v>30</v>
      </c>
      <c r="G59" s="3" t="str">
        <f>B59</f>
        <v>cb-l-2</v>
      </c>
      <c r="H59" s="3" t="str">
        <f>INDEX(IndividualPredictions!H2:H999, MATCH(C59,IndividualPredictions!A2:A999, 0))</f>
        <v>/intake/new-patient/brandt-lena/predictions/pred-l</v>
      </c>
      <c r="I59" s="3" t="str">
        <f>H59 &amp; "/bins/" &amp; A59</f>
        <v>/intake/new-patient/brandt-lena/predictions/pred-l/bins/cb-l-2</v>
      </c>
      <c r="J59" s="3">
        <f>IF(D59 &gt;= E59, D59 - E59, E59 - D59)</f>
        <v>0.020000000000000018</v>
      </c>
      <c r="K59" s="3" t="b">
        <f>IF(AND(F59 &gt;= 20, J59 &lt;= 0.1), TRUE(), FALSE())</f>
        <v>1</v>
      </c>
      <c r="L59" s="2" t="s">
        <v>668</v>
      </c>
    </row>
    <row r="60">
      <c r="A60" s="2" t="s">
        <v>719</v>
      </c>
      <c r="B60" s="2" t="s">
        <v>719</v>
      </c>
      <c r="C60" s="2" t="s">
        <v>646</v>
      </c>
      <c r="D60" s="2">
        <v>0.7</v>
      </c>
      <c r="E60" s="2">
        <v>0.68</v>
      </c>
      <c r="F60" s="5">
        <v>35</v>
      </c>
      <c r="G60" s="3" t="str">
        <f>B60</f>
        <v>cb-l-3</v>
      </c>
      <c r="H60" s="3" t="str">
        <f>INDEX(IndividualPredictions!H2:H999, MATCH(C60,IndividualPredictions!A2:A999, 0))</f>
        <v>/intake/new-patient/brandt-lena/predictions/pred-l</v>
      </c>
      <c r="I60" s="3" t="str">
        <f>H60 &amp; "/bins/" &amp; A60</f>
        <v>/intake/new-patient/brandt-lena/predictions/pred-l/bins/cb-l-3</v>
      </c>
      <c r="J60" s="3">
        <f>IF(D60 &gt;= E60, D60 - E60, E60 - D60)</f>
        <v>0.019999999999999907</v>
      </c>
      <c r="K60" s="3" t="b">
        <f>IF(AND(F60 &gt;= 20, J60 &lt;= 0.1), TRUE(), FALSE())</f>
        <v>1</v>
      </c>
      <c r="L60" s="2" t="s">
        <v>668</v>
      </c>
    </row>
    <row r="61">
      <c r="A61" s="2" t="s">
        <v>720</v>
      </c>
      <c r="B61" s="2" t="s">
        <v>720</v>
      </c>
      <c r="C61" s="2" t="s">
        <v>646</v>
      </c>
      <c r="D61" s="2">
        <v>0.9</v>
      </c>
      <c r="E61" s="2">
        <v>0.92</v>
      </c>
      <c r="F61" s="5">
        <v>32</v>
      </c>
      <c r="G61" s="3" t="str">
        <f>B61</f>
        <v>cb-l-4</v>
      </c>
      <c r="H61" s="3" t="str">
        <f>INDEX(IndividualPredictions!H2:H999, MATCH(C61,IndividualPredictions!A2:A999, 0))</f>
        <v>/intake/new-patient/brandt-lena/predictions/pred-l</v>
      </c>
      <c r="I61" s="3" t="str">
        <f>H61 &amp; "/bins/" &amp; A61</f>
        <v>/intake/new-patient/brandt-lena/predictions/pred-l/bins/cb-l-4</v>
      </c>
      <c r="J61" s="3">
        <f>IF(D61 &gt;= E61, D61 - E61, E61 - D61)</f>
        <v>0.020000000000000018</v>
      </c>
      <c r="K61" s="3" t="b">
        <f>IF(AND(F61 &gt;= 20, J61 &lt;= 0.1), TRUE(), FALSE())</f>
        <v>1</v>
      </c>
      <c r="L61" s="2" t="s">
        <v>668</v>
      </c>
    </row>
  </sheetData>
  <autoFilter ref="A1:L1"/>
  <headerFooter/>
  <legacyDrawing r:id="rId1"/>
</worksheet>
</file>

<file path=xl/worksheets/sheet2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12"/>
  <sheetViews>
    <sheetView workbookViewId="0">
      <pane ySplit="1" topLeftCell="A2" state="frozen" activePane="bottomLeft"/>
      <selection pane="bottomLeft" activeCell="A1" sqref="A1"/>
    </sheetView>
  </sheetViews>
  <sheetFormatPr defaultRowHeight="15"/>
  <cols>
    <col min="1" max="1" width="21.40559196472168" customWidth="1"/>
    <col min="2" max="2" width="37.99147415161133" customWidth="1"/>
    <col min="3" max="3" width="17.92210578918457" customWidth="1"/>
    <col min="4" max="4" width="20.492414474487305" customWidth="1"/>
    <col min="5" max="5" width="17.443378448486328" customWidth="1"/>
    <col min="6" max="6" width="17.443378448486328" customWidth="1"/>
    <col min="7" max="7" width="37.99147415161133" customWidth="1"/>
    <col min="8" max="8" width="53.756568908691406" customWidth="1"/>
    <col min="9" max="9" width="65.14659881591797" customWidth="1"/>
    <col min="10" max="10" width="40.76204299926758" customWidth="1"/>
    <col min="11" max="11" width="21.561220169067383" customWidth="1"/>
    <col min="12" max="12" width="19.895278930664062" customWidth="1"/>
  </cols>
  <sheetData>
    <row r="1">
      <c r="A1" s="1" t="s">
        <v>721</v>
      </c>
      <c r="B1" s="1" t="s">
        <v>722</v>
      </c>
      <c r="C1" s="1" t="s">
        <v>282</v>
      </c>
      <c r="D1" s="1" t="s">
        <v>22</v>
      </c>
      <c r="E1" s="1" t="s">
        <v>723</v>
      </c>
      <c r="F1" s="1" t="s">
        <v>724</v>
      </c>
      <c r="G1" s="1" t="s">
        <v>3</v>
      </c>
      <c r="H1" s="1" t="s">
        <v>23</v>
      </c>
      <c r="I1" s="1" t="s">
        <v>4</v>
      </c>
      <c r="J1" s="1" t="s">
        <v>725</v>
      </c>
      <c r="K1" s="1" t="s">
        <v>726</v>
      </c>
      <c r="L1" s="1" t="s">
        <v>727</v>
      </c>
    </row>
    <row r="2">
      <c r="A2" s="2" t="s">
        <v>728</v>
      </c>
      <c r="B2" s="2" t="s">
        <v>729</v>
      </c>
      <c r="C2" s="2" t="s">
        <v>298</v>
      </c>
      <c r="D2" s="2" t="s">
        <v>13</v>
      </c>
      <c r="E2" s="2" t="s">
        <v>730</v>
      </c>
      <c r="F2" s="2" t="b">
        <v>1</v>
      </c>
      <c r="G2" s="3" t="str">
        <f>B2</f>
        <v>IRF5 Regulatory Modulation</v>
      </c>
      <c r="H2" s="3" t="str">
        <f>INDEX(CausalMechanisms!L2:L999, MATCH(C2,CausalMechanisms!A2:A999, 0))</f>
        <v>/intake/new-patient/reyes-ana/mechanisms/cm-a</v>
      </c>
      <c r="I2" s="3" t="str">
        <f>H2 &amp; "/targets/" &amp; A2</f>
        <v>/intake/new-patient/reyes-ana/mechanisms/cm-a/targets/it-a</v>
      </c>
      <c r="J2" s="3" t="str">
        <f>INDEX(CausalMechanisms!B2:B999, MATCH(C2,CausalMechanisms!A2:A999, 0))</f>
        <v>IRF5 regulatory -&gt; type-I IFN -&gt; SLE risk</v>
      </c>
      <c r="K2" s="3" t="b">
        <f>IF(E2 = "Gene-based", TRUE(), FALSE())</f>
        <v>1</v>
      </c>
      <c r="L2" s="3" t="b">
        <f>IF(E2 = "Cell-based", TRUE(), FALSE())</f>
        <v>0</v>
      </c>
    </row>
    <row r="3">
      <c r="A3" s="2" t="s">
        <v>731</v>
      </c>
      <c r="B3" s="2" t="s">
        <v>729</v>
      </c>
      <c r="C3" s="2" t="s">
        <v>311</v>
      </c>
      <c r="D3" s="2" t="s">
        <v>13</v>
      </c>
      <c r="E3" s="2" t="s">
        <v>730</v>
      </c>
      <c r="F3" s="2" t="b">
        <v>1</v>
      </c>
      <c r="G3" s="3" t="str">
        <f>B3</f>
        <v>IRF5 Regulatory Modulation</v>
      </c>
      <c r="H3" s="3" t="str">
        <f>INDEX(CausalMechanisms!L2:L999, MATCH(C3,CausalMechanisms!A2:A999, 0))</f>
        <v>/intake/new-patient/okafor-bili/mechanisms/cm-b</v>
      </c>
      <c r="I3" s="3" t="str">
        <f>H3 &amp; "/targets/" &amp; A3</f>
        <v>/intake/new-patient/okafor-bili/mechanisms/cm-b/targets/it-b</v>
      </c>
      <c r="J3" s="3" t="str">
        <f>INDEX(CausalMechanisms!B2:B999, MATCH(C3,CausalMechanisms!A2:A999, 0))</f>
        <v>IRF5 regulatory -&gt; type-I IFN -&gt; SLE risk</v>
      </c>
      <c r="K3" s="3" t="b">
        <f>IF(E3 = "Gene-based", TRUE(), FALSE())</f>
        <v>1</v>
      </c>
      <c r="L3" s="3" t="b">
        <f>IF(E3 = "Cell-based", TRUE(), FALSE())</f>
        <v>0</v>
      </c>
    </row>
    <row r="4">
      <c r="A4" s="2" t="s">
        <v>732</v>
      </c>
      <c r="B4" s="2" t="s">
        <v>733</v>
      </c>
      <c r="C4" s="2" t="s">
        <v>318</v>
      </c>
      <c r="D4" s="2" t="s">
        <v>13</v>
      </c>
      <c r="E4" s="2" t="s">
        <v>730</v>
      </c>
      <c r="F4" s="2" t="b">
        <v>0</v>
      </c>
      <c r="G4" s="3" t="str">
        <f>B4</f>
        <v>STAT4 Pathway Modulation</v>
      </c>
      <c r="H4" s="3" t="str">
        <f>INDEX(CausalMechanisms!L2:L999, MATCH(C4,CausalMechanisms!A2:A999, 0))</f>
        <v>/intake/new-patient/wei-chen/mechanisms/cm-c</v>
      </c>
      <c r="I4" s="3" t="str">
        <f>H4 &amp; "/targets/" &amp; A4</f>
        <v>/intake/new-patient/wei-chen/mechanisms/cm-c/targets/it-c</v>
      </c>
      <c r="J4" s="3" t="str">
        <f>INDEX(CausalMechanisms!B2:B999, MATCH(C4,CausalMechanisms!A2:A999, 0))</f>
        <v>STAT4 regulatory -&gt; Th1/IFN -&gt; SLE risk</v>
      </c>
      <c r="K4" s="3" t="b">
        <f>IF(E4 = "Gene-based", TRUE(), FALSE())</f>
        <v>1</v>
      </c>
      <c r="L4" s="3" t="b">
        <f>IF(E4 = "Cell-based", TRUE(), FALSE())</f>
        <v>0</v>
      </c>
    </row>
    <row r="5">
      <c r="A5" s="2" t="s">
        <v>734</v>
      </c>
      <c r="B5" s="2" t="s">
        <v>729</v>
      </c>
      <c r="C5" s="2" t="s">
        <v>325</v>
      </c>
      <c r="D5" s="2" t="s">
        <v>13</v>
      </c>
      <c r="E5" s="2" t="s">
        <v>730</v>
      </c>
      <c r="F5" s="2" t="b">
        <v>1</v>
      </c>
      <c r="G5" s="3" t="str">
        <f>B5</f>
        <v>IRF5 Regulatory Modulation</v>
      </c>
      <c r="H5" s="3" t="str">
        <f>INDEX(CausalMechanisms!L2:L999, MATCH(C5,CausalMechanisms!A2:A999, 0))</f>
        <v>/intake/new-patient/santos-diego/mechanisms/cm-d</v>
      </c>
      <c r="I5" s="3" t="str">
        <f>H5 &amp; "/targets/" &amp; A5</f>
        <v>/intake/new-patient/santos-diego/mechanisms/cm-d/targets/it-d</v>
      </c>
      <c r="J5" s="3" t="str">
        <f>INDEX(CausalMechanisms!B2:B999, MATCH(C5,CausalMechanisms!A2:A999, 0))</f>
        <v>IRF5 regulatory -&gt; type-I IFN -&gt; SLE risk</v>
      </c>
      <c r="K5" s="3" t="b">
        <f>IF(E5 = "Gene-based", TRUE(), FALSE())</f>
        <v>1</v>
      </c>
      <c r="L5" s="3" t="b">
        <f>IF(E5 = "Cell-based", TRUE(), FALSE())</f>
        <v>0</v>
      </c>
    </row>
    <row r="6">
      <c r="A6" s="2" t="s">
        <v>735</v>
      </c>
      <c r="B6" s="2" t="s">
        <v>736</v>
      </c>
      <c r="C6" s="2" t="s">
        <v>339</v>
      </c>
      <c r="D6" s="2" t="s">
        <v>17</v>
      </c>
      <c r="E6" s="2" t="s">
        <v>737</v>
      </c>
      <c r="F6" s="2" t="b">
        <v>1</v>
      </c>
      <c r="G6" s="3" t="str">
        <f>B6</f>
        <v>IL-17 Pathway Blockade (secukinumab)</v>
      </c>
      <c r="H6" s="3" t="str">
        <f>INDEX(CausalMechanisms!L2:L999, MATCH(C6,CausalMechanisms!A2:A999, 0))</f>
        <v>/intake/new-patient/haidar-faisal/mechanisms/cm-f</v>
      </c>
      <c r="I6" s="3" t="str">
        <f>H6 &amp; "/targets/" &amp; A6</f>
        <v>/intake/new-patient/haidar-faisal/mechanisms/cm-f/targets/it-f</v>
      </c>
      <c r="J6" s="3" t="str">
        <f>INDEX(CausalMechanisms!B2:B999, MATCH(C6,CausalMechanisms!A2:A999, 0))</f>
        <v>IL23R regulatory -&gt; IL-17 axis -&gt; PsA risk</v>
      </c>
      <c r="K6" s="3" t="b">
        <f>IF(E6 = "Gene-based", TRUE(), FALSE())</f>
        <v>0</v>
      </c>
      <c r="L6" s="3" t="b">
        <f>IF(E6 = "Cell-based", TRUE(), FALSE())</f>
        <v>1</v>
      </c>
    </row>
    <row r="7">
      <c r="A7" s="2" t="s">
        <v>738</v>
      </c>
      <c r="B7" s="2" t="s">
        <v>736</v>
      </c>
      <c r="C7" s="2" t="s">
        <v>346</v>
      </c>
      <c r="D7" s="2" t="s">
        <v>17</v>
      </c>
      <c r="E7" s="2" t="s">
        <v>737</v>
      </c>
      <c r="F7" s="2" t="b">
        <v>1</v>
      </c>
      <c r="G7" s="3" t="str">
        <f>B7</f>
        <v>IL-17 Pathway Blockade (secukinumab)</v>
      </c>
      <c r="H7" s="3" t="str">
        <f>INDEX(CausalMechanisms!L2:L999, MATCH(C7,CausalMechanisms!A2:A999, 0))</f>
        <v>/intake/new-patient/lin-grace/mechanisms/cm-g</v>
      </c>
      <c r="I7" s="3" t="str">
        <f>H7 &amp; "/targets/" &amp; A7</f>
        <v>/intake/new-patient/lin-grace/mechanisms/cm-g/targets/it-g</v>
      </c>
      <c r="J7" s="3" t="str">
        <f>INDEX(CausalMechanisms!B2:B999, MATCH(C7,CausalMechanisms!A2:A999, 0))</f>
        <v>IL23R regulatory -&gt; IL-17 axis -&gt; PsA risk</v>
      </c>
      <c r="K7" s="3" t="b">
        <f>IF(E7 = "Gene-based", TRUE(), FALSE())</f>
        <v>0</v>
      </c>
      <c r="L7" s="3" t="b">
        <f>IF(E7 = "Cell-based", TRUE(), FALSE())</f>
        <v>1</v>
      </c>
    </row>
    <row r="8">
      <c r="A8" s="2" t="s">
        <v>739</v>
      </c>
      <c r="B8" s="2" t="s">
        <v>729</v>
      </c>
      <c r="C8" s="2" t="s">
        <v>353</v>
      </c>
      <c r="D8" s="2" t="s">
        <v>13</v>
      </c>
      <c r="E8" s="2" t="s">
        <v>730</v>
      </c>
      <c r="F8" s="2" t="b">
        <v>1</v>
      </c>
      <c r="G8" s="3" t="str">
        <f>B8</f>
        <v>IRF5 Regulatory Modulation</v>
      </c>
      <c r="H8" s="3" t="str">
        <f>INDEX(CausalMechanisms!L2:L999, MATCH(C8,CausalMechanisms!A2:A999, 0))</f>
        <v>/intake/new-patient/yamamoto-hana/mechanisms/cm-h</v>
      </c>
      <c r="I8" s="3" t="str">
        <f>H8 &amp; "/targets/" &amp; A8</f>
        <v>/intake/new-patient/yamamoto-hana/mechanisms/cm-h/targets/it-h</v>
      </c>
      <c r="J8" s="3" t="str">
        <f>INDEX(CausalMechanisms!B2:B999, MATCH(C8,CausalMechanisms!A2:A999, 0))</f>
        <v>IRF5 regulatory -&gt; type-I IFN -&gt; SLE risk</v>
      </c>
      <c r="K8" s="3" t="b">
        <f>IF(E8 = "Gene-based", TRUE(), FALSE())</f>
        <v>1</v>
      </c>
      <c r="L8" s="3" t="b">
        <f>IF(E8 = "Cell-based", TRUE(), FALSE())</f>
        <v>0</v>
      </c>
    </row>
    <row r="9">
      <c r="A9" s="2" t="s">
        <v>740</v>
      </c>
      <c r="B9" s="2" t="s">
        <v>729</v>
      </c>
      <c r="C9" s="2" t="s">
        <v>357</v>
      </c>
      <c r="D9" s="2" t="s">
        <v>13</v>
      </c>
      <c r="E9" s="2" t="s">
        <v>730</v>
      </c>
      <c r="F9" s="2" t="b">
        <v>1</v>
      </c>
      <c r="G9" s="3" t="str">
        <f>B9</f>
        <v>IRF5 Regulatory Modulation</v>
      </c>
      <c r="H9" s="3" t="str">
        <f>INDEX(CausalMechanisms!L2:L999, MATCH(C9,CausalMechanisms!A2:A999, 0))</f>
        <v>/intake/new-patient/conteh-ibrahim/mechanisms/cm-i</v>
      </c>
      <c r="I9" s="3" t="str">
        <f>H9 &amp; "/targets/" &amp; A9</f>
        <v>/intake/new-patient/conteh-ibrahim/mechanisms/cm-i/targets/it-i</v>
      </c>
      <c r="J9" s="3" t="str">
        <f>INDEX(CausalMechanisms!B2:B999, MATCH(C9,CausalMechanisms!A2:A999, 0))</f>
        <v>IRF5 regulatory -&gt; type-I IFN -&gt; SLE risk</v>
      </c>
      <c r="K9" s="3" t="b">
        <f>IF(E9 = "Gene-based", TRUE(), FALSE())</f>
        <v>1</v>
      </c>
      <c r="L9" s="3" t="b">
        <f>IF(E9 = "Cell-based", TRUE(), FALSE())</f>
        <v>0</v>
      </c>
    </row>
    <row r="10">
      <c r="A10" s="2" t="s">
        <v>741</v>
      </c>
      <c r="B10" s="2" t="s">
        <v>729</v>
      </c>
      <c r="C10" s="2" t="s">
        <v>361</v>
      </c>
      <c r="D10" s="2" t="s">
        <v>13</v>
      </c>
      <c r="E10" s="2" t="s">
        <v>730</v>
      </c>
      <c r="F10" s="2" t="b">
        <v>1</v>
      </c>
      <c r="G10" s="3" t="str">
        <f>B10</f>
        <v>IRF5 Regulatory Modulation</v>
      </c>
      <c r="H10" s="3" t="str">
        <f>INDEX(CausalMechanisms!L2:L999, MATCH(C10,CausalMechanisms!A2:A999, 0))</f>
        <v>/intake/new-patient/brooks-jamal/mechanisms/cm-j</v>
      </c>
      <c r="I10" s="3" t="str">
        <f>H10 &amp; "/targets/" &amp; A10</f>
        <v>/intake/new-patient/brooks-jamal/mechanisms/cm-j/targets/it-j</v>
      </c>
      <c r="J10" s="3" t="str">
        <f>INDEX(CausalMechanisms!B2:B999, MATCH(C10,CausalMechanisms!A2:A999, 0))</f>
        <v>IRF5 regulatory -&gt; type-I IFN -&gt; SLE risk</v>
      </c>
      <c r="K10" s="3" t="b">
        <f>IF(E10 = "Gene-based", TRUE(), FALSE())</f>
        <v>1</v>
      </c>
      <c r="L10" s="3" t="b">
        <f>IF(E10 = "Cell-based", TRUE(), FALSE())</f>
        <v>0</v>
      </c>
    </row>
    <row r="11">
      <c r="A11" s="2" t="s">
        <v>742</v>
      </c>
      <c r="B11" s="2" t="s">
        <v>736</v>
      </c>
      <c r="C11" s="2" t="s">
        <v>365</v>
      </c>
      <c r="D11" s="2" t="s">
        <v>17</v>
      </c>
      <c r="E11" s="2" t="s">
        <v>737</v>
      </c>
      <c r="F11" s="2" t="b">
        <v>1</v>
      </c>
      <c r="G11" s="3" t="str">
        <f>B11</f>
        <v>IL-17 Pathway Blockade (secukinumab)</v>
      </c>
      <c r="H11" s="3" t="str">
        <f>INDEX(CausalMechanisms!L2:L999, MATCH(C11,CausalMechanisms!A2:A999, 0))</f>
        <v>/intake/new-patient/nair-kavya/mechanisms/cm-k</v>
      </c>
      <c r="I11" s="3" t="str">
        <f>H11 &amp; "/targets/" &amp; A11</f>
        <v>/intake/new-patient/nair-kavya/mechanisms/cm-k/targets/it-k</v>
      </c>
      <c r="J11" s="3" t="str">
        <f>INDEX(CausalMechanisms!B2:B999, MATCH(C11,CausalMechanisms!A2:A999, 0))</f>
        <v>IL23R regulatory -&gt; IL-17 axis -&gt; PsA risk</v>
      </c>
      <c r="K11" s="3" t="b">
        <f>IF(E11 = "Gene-based", TRUE(), FALSE())</f>
        <v>0</v>
      </c>
      <c r="L11" s="3" t="b">
        <f>IF(E11 = "Cell-based", TRUE(), FALSE())</f>
        <v>1</v>
      </c>
    </row>
    <row r="12">
      <c r="A12" s="2" t="s">
        <v>743</v>
      </c>
      <c r="B12" s="2" t="s">
        <v>736</v>
      </c>
      <c r="C12" s="2" t="s">
        <v>369</v>
      </c>
      <c r="D12" s="2" t="s">
        <v>17</v>
      </c>
      <c r="E12" s="2" t="s">
        <v>737</v>
      </c>
      <c r="F12" s="2" t="b">
        <v>1</v>
      </c>
      <c r="G12" s="3" t="str">
        <f>B12</f>
        <v>IL-17 Pathway Blockade (secukinumab)</v>
      </c>
      <c r="H12" s="3" t="str">
        <f>INDEX(CausalMechanisms!L2:L999, MATCH(C12,CausalMechanisms!A2:A999, 0))</f>
        <v>/intake/new-patient/brandt-lena/mechanisms/cm-l</v>
      </c>
      <c r="I12" s="3" t="str">
        <f>H12 &amp; "/targets/" &amp; A12</f>
        <v>/intake/new-patient/brandt-lena/mechanisms/cm-l/targets/it-l</v>
      </c>
      <c r="J12" s="3" t="str">
        <f>INDEX(CausalMechanisms!B2:B999, MATCH(C12,CausalMechanisms!A2:A999, 0))</f>
        <v>IL23R regulatory -&gt; IL-17 axis -&gt; PsA risk</v>
      </c>
      <c r="K12" s="3" t="b">
        <f>IF(E12 = "Gene-based", TRUE(), FALSE())</f>
        <v>0</v>
      </c>
      <c r="L12" s="3" t="b">
        <f>IF(E12 = "Cell-based", TRUE(), FALSE())</f>
        <v>1</v>
      </c>
    </row>
  </sheetData>
  <autoFilter ref="A1:L1"/>
  <headerFooter/>
  <legacyDrawing r:id="rId1"/>
</worksheet>
</file>

<file path=xl/worksheets/sheet2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6"/>
  <sheetViews>
    <sheetView workbookViewId="0">
      <pane ySplit="1" topLeftCell="A2" state="frozen" activePane="bottomLeft"/>
      <selection pane="bottomLeft" activeCell="A1" sqref="A1"/>
    </sheetView>
  </sheetViews>
  <sheetFormatPr defaultRowHeight="15"/>
  <cols>
    <col min="1" max="1" width="34.85236358642578" customWidth="1"/>
    <col min="2" max="2" width="158.1583251953125" customWidth="1"/>
    <col min="3" max="3" width="256" customWidth="1"/>
    <col min="4" max="4" width="18.648284912109375" customWidth="1"/>
    <col min="5" max="5" width="158.1583251953125" customWidth="1"/>
    <col min="6" max="6" width="50.002445220947266" customWidth="1"/>
  </cols>
  <sheetData>
    <row r="1">
      <c r="A1" s="1" t="s">
        <v>744</v>
      </c>
      <c r="B1" s="1" t="s">
        <v>745</v>
      </c>
      <c r="C1" s="1" t="s">
        <v>746</v>
      </c>
      <c r="D1" s="1" t="s">
        <v>747</v>
      </c>
      <c r="E1" s="1" t="s">
        <v>3</v>
      </c>
      <c r="F1" s="1" t="s">
        <v>4</v>
      </c>
    </row>
    <row r="2">
      <c r="A2" s="2" t="s">
        <v>748</v>
      </c>
      <c r="B2" s="2" t="s">
        <v>749</v>
      </c>
      <c r="C2" s="2" t="s">
        <v>750</v>
      </c>
      <c r="D2" s="2" t="s">
        <v>751</v>
      </c>
      <c r="E2" s="3" t="str">
        <f>B2</f>
        <v>The LLM never gets a vote on the conclusion.</v>
      </c>
      <c r="F2" s="3" t="str">
        <f>"/admin/axioms/" &amp; A2</f>
        <v>/admin/axioms/ax-llm-no-vote</v>
      </c>
    </row>
    <row r="3">
      <c r="A3" s="2" t="s">
        <v>752</v>
      </c>
      <c r="B3" s="2" t="s">
        <v>753</v>
      </c>
      <c r="C3" s="2" t="s">
        <v>754</v>
      </c>
      <c r="D3" s="2" t="s">
        <v>755</v>
      </c>
      <c r="E3" s="3" t="str">
        <f>B3</f>
        <v>IsClinicallyActionable is computed, never entered.</v>
      </c>
      <c r="F3" s="3" t="str">
        <f>"/admin/axioms/" &amp; A3</f>
        <v>/admin/axioms/ax-keystone-computed</v>
      </c>
    </row>
    <row r="4">
      <c r="A4" s="2" t="s">
        <v>756</v>
      </c>
      <c r="B4" s="2" t="s">
        <v>757</v>
      </c>
      <c r="C4" s="2" t="s">
        <v>758</v>
      </c>
      <c r="D4" s="2" t="s">
        <v>751</v>
      </c>
      <c r="E4" s="3" t="str">
        <f>B4</f>
        <v>The trust boundary is a line in the DAG: fields with a formula are the model's; raw-input leaf fields are the LLM's (or a human's).</v>
      </c>
      <c r="F4" s="3" t="str">
        <f>"/admin/axioms/" &amp; A4</f>
        <v>/admin/axioms/ax-line-in-dag</v>
      </c>
    </row>
    <row r="5">
      <c r="A5" s="2" t="s">
        <v>759</v>
      </c>
      <c r="B5" s="2" t="s">
        <v>760</v>
      </c>
      <c r="C5" s="2" t="s">
        <v>761</v>
      </c>
      <c r="D5" s="2" t="s">
        <v>751</v>
      </c>
      <c r="E5" s="3" t="str">
        <f>B5</f>
        <v>The LLM does exactly two things, both at the leaf layer: interpret intake facts, and produce synthetic-but-transparent test results.</v>
      </c>
      <c r="F5" s="3" t="str">
        <f>"/admin/axioms/" &amp; A5</f>
        <v>/admin/axioms/ax-llm-leaves-only</v>
      </c>
    </row>
    <row r="6">
      <c r="A6" s="2" t="s">
        <v>762</v>
      </c>
      <c r="B6" s="2" t="s">
        <v>763</v>
      </c>
      <c r="C6" s="2" t="s">
        <v>764</v>
      </c>
      <c r="D6" s="2" t="s">
        <v>765</v>
      </c>
      <c r="E6" s="3" t="str">
        <f>B6</f>
        <v>Every choice the LLM makes is a literal, editable knob in the admin UI.</v>
      </c>
      <c r="F6" s="3" t="str">
        <f>"/admin/axioms/" &amp; A6</f>
        <v>/admin/axioms/ax-every-choice-knob</v>
      </c>
    </row>
    <row r="7">
      <c r="A7" s="2" t="s">
        <v>766</v>
      </c>
      <c r="B7" s="2" t="s">
        <v>767</v>
      </c>
      <c r="C7" s="2" t="s">
        <v>768</v>
      </c>
      <c r="D7" s="2" t="s">
        <v>765</v>
      </c>
      <c r="E7" s="3" t="str">
        <f>B7</f>
        <v>Every DAG formula is inspectable and correctable in place, like a spreadsheet cell.</v>
      </c>
      <c r="F7" s="3" t="str">
        <f>"/admin/axioms/" &amp; A7</f>
        <v>/admin/axioms/ax-formula-local-edit</v>
      </c>
    </row>
    <row r="8">
      <c r="A8" s="2" t="s">
        <v>769</v>
      </c>
      <c r="B8" s="2" t="s">
        <v>770</v>
      </c>
      <c r="C8" s="2" t="s">
        <v>771</v>
      </c>
      <c r="D8" s="2" t="s">
        <v>772</v>
      </c>
      <c r="E8" s="3" t="str">
        <f>B8</f>
        <v>Extraction and derivation are verifiable independently (three-panel witness).</v>
      </c>
      <c r="F8" s="3" t="str">
        <f>"/admin/axioms/" &amp; A8</f>
        <v>/admin/axioms/ax-independent-witness</v>
      </c>
    </row>
    <row r="9">
      <c r="A9" s="2" t="s">
        <v>773</v>
      </c>
      <c r="B9" s="2" t="s">
        <v>774</v>
      </c>
      <c r="C9" s="2" t="s">
        <v>775</v>
      </c>
      <c r="D9" s="2" t="s">
        <v>755</v>
      </c>
      <c r="E9" s="3" t="str">
        <f>B9</f>
        <v>The same deterministic machine must land on either side and name the single deciding gate.</v>
      </c>
      <c r="F9" s="3" t="str">
        <f>"/admin/axioms/" &amp; A9</f>
        <v>/admin/axioms/ax-both-verdicts</v>
      </c>
    </row>
    <row r="10">
      <c r="A10" s="2" t="s">
        <v>776</v>
      </c>
      <c r="B10" s="2" t="s">
        <v>777</v>
      </c>
      <c r="C10" s="2" t="s">
        <v>778</v>
      </c>
      <c r="D10" s="2" t="s">
        <v>779</v>
      </c>
      <c r="E10" s="3" t="str">
        <f>B10</f>
        <v>The diagnosis report is derived, never authored as prose; it is structured natural language assembled from the DAG.</v>
      </c>
      <c r="F10" s="3" t="str">
        <f>"/admin/axioms/" &amp; A10</f>
        <v>/admin/axioms/ax-report-derived-not-prose</v>
      </c>
    </row>
    <row r="11">
      <c r="A11" s="2" t="s">
        <v>780</v>
      </c>
      <c r="B11" s="2" t="s">
        <v>781</v>
      </c>
      <c r="C11" s="2" t="s">
        <v>782</v>
      </c>
      <c r="D11" s="2" t="s">
        <v>779</v>
      </c>
      <c r="E11" s="3" t="str">
        <f>B11</f>
        <v>Every word the patient gave us, and every node linked to that patient in the DAG down to ground truth, is represented somewhere in that patient's report.</v>
      </c>
      <c r="F11" s="3" t="str">
        <f>"/admin/axioms/" &amp; A11</f>
        <v>/admin/axioms/ax-report-total-coverage</v>
      </c>
    </row>
    <row r="12">
      <c r="A12" s="2" t="s">
        <v>783</v>
      </c>
      <c r="B12" s="2" t="s">
        <v>784</v>
      </c>
      <c r="C12" s="2" t="s">
        <v>785</v>
      </c>
      <c r="D12" s="2" t="s">
        <v>779</v>
      </c>
      <c r="E12" s="3" t="str">
        <f>B12</f>
        <v>No single piece of report language is more complex than one spreadsheet cell: it references sibling values directly and does no joins or group-bys.</v>
      </c>
      <c r="F12" s="3" t="str">
        <f>"/admin/axioms/" &amp; A12</f>
        <v>/admin/axioms/ax-report-cell-simple</v>
      </c>
    </row>
    <row r="13">
      <c r="A13" s="2" t="s">
        <v>786</v>
      </c>
      <c r="B13" s="2" t="s">
        <v>787</v>
      </c>
      <c r="C13" s="2" t="s">
        <v>788</v>
      </c>
      <c r="D13" s="2" t="s">
        <v>779</v>
      </c>
      <c r="E13" s="3" t="str">
        <f>B13</f>
        <v>A fragment's language only appears when its predicates hold for that row; irrelevant language is suppressed per case.</v>
      </c>
      <c r="F13" s="3" t="str">
        <f>"/admin/axioms/" &amp; A13</f>
        <v>/admin/axioms/ax-report-predicate-gated</v>
      </c>
    </row>
    <row r="14">
      <c r="A14" s="2" t="s">
        <v>789</v>
      </c>
      <c r="B14" s="2" t="s">
        <v>790</v>
      </c>
      <c r="C14" s="2" t="s">
        <v>791</v>
      </c>
      <c r="D14" s="2" t="s">
        <v>779</v>
      </c>
      <c r="E14" s="3" t="str">
        <f>B14</f>
        <v>Complex language is built from intermediate translation fields: calculated text fragments composed from other predicates on the same row, then composed upward.</v>
      </c>
      <c r="F14" s="3" t="str">
        <f>"/admin/axioms/" &amp; A14</f>
        <v>/admin/axioms/ax-report-intermediate-translations</v>
      </c>
    </row>
    <row r="15">
      <c r="A15" s="2" t="s">
        <v>792</v>
      </c>
      <c r="B15" s="2" t="s">
        <v>793</v>
      </c>
      <c r="C15" s="2" t="s">
        <v>794</v>
      </c>
      <c r="D15" s="2" t="s">
        <v>779</v>
      </c>
      <c r="E15" s="3" t="str">
        <f>B15</f>
        <v>Common, reusable language lives once in the __meta settings table and is referenced by fragments; it is not re-implemented per case.</v>
      </c>
      <c r="F15" s="3" t="str">
        <f>"/admin/axioms/" &amp; A15</f>
        <v>/admin/axioms/ax-report-reuse-global-phrases</v>
      </c>
    </row>
    <row r="16">
      <c r="A16" s="2" t="s">
        <v>795</v>
      </c>
      <c r="B16" s="2" t="s">
        <v>796</v>
      </c>
      <c r="C16" s="2" t="s">
        <v>797</v>
      </c>
      <c r="D16" s="2" t="s">
        <v>779</v>
      </c>
      <c r="E16" s="3" t="str">
        <f>B16</f>
        <v>The schema may be expressed in RuleSpeak-style language, but the diagnosis report itself is derived (rendered), not declared.</v>
      </c>
      <c r="F16" s="3" t="str">
        <f>"/admin/axioms/" &amp; A16</f>
        <v>/admin/axioms/ax-schema-rulespeak-report-derived</v>
      </c>
    </row>
  </sheetData>
  <autoFilter ref="A1:F1"/>
  <headerFooter/>
  <legacyDrawing r:id="rId1"/>
</worksheet>
</file>

<file path=xl/worksheets/sheet2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11"/>
  <sheetViews>
    <sheetView workbookViewId="0">
      <pane ySplit="1" topLeftCell="A2" state="frozen" activePane="bottomLeft"/>
      <selection pane="bottomLeft" activeCell="A1" sqref="A1"/>
    </sheetView>
  </sheetViews>
  <sheetFormatPr defaultRowHeight="15"/>
  <cols>
    <col min="1" max="1" width="31.647689819335938" customWidth="1"/>
    <col min="2" max="2" width="127.1860122680664" customWidth="1"/>
    <col min="3" max="3" width="209.2444305419922" customWidth="1"/>
    <col min="4" max="4" width="41.61948776245117" customWidth="1"/>
    <col min="5" max="5" width="17.443378448486328" customWidth="1"/>
    <col min="6" max="6" width="127.1860122680664" customWidth="1"/>
    <col min="7" max="7" width="55.846046447753906" customWidth="1"/>
  </cols>
  <sheetData>
    <row r="1">
      <c r="A1" s="1" t="s">
        <v>798</v>
      </c>
      <c r="B1" s="1" t="s">
        <v>799</v>
      </c>
      <c r="C1" s="1" t="s">
        <v>800</v>
      </c>
      <c r="D1" s="1" t="s">
        <v>801</v>
      </c>
      <c r="E1" s="1" t="s">
        <v>802</v>
      </c>
      <c r="F1" s="1" t="s">
        <v>3</v>
      </c>
      <c r="G1" s="1" t="s">
        <v>4</v>
      </c>
    </row>
    <row r="2">
      <c r="A2" s="2" t="s">
        <v>803</v>
      </c>
      <c r="B2" s="2" t="s">
        <v>804</v>
      </c>
      <c r="C2" s="2" t="s">
        <v>805</v>
      </c>
      <c r="D2" s="2" t="s">
        <v>806</v>
      </c>
      <c r="E2" s="2" t="s">
        <v>807</v>
      </c>
      <c r="F2" s="3" t="str">
        <f>B2</f>
        <v>Five of seven patients fail, each on exactly one gate.</v>
      </c>
      <c r="G2" s="3" t="str">
        <f>"/admin/tests-for-success/" &amp; A2</f>
        <v>/admin/tests-for-success/tfs-one-gate-each</v>
      </c>
    </row>
    <row r="3">
      <c r="A3" s="2" t="s">
        <v>808</v>
      </c>
      <c r="B3" s="2" t="s">
        <v>809</v>
      </c>
      <c r="C3" s="2" t="s">
        <v>810</v>
      </c>
      <c r="D3" s="2" t="s">
        <v>811</v>
      </c>
      <c r="E3" s="2" t="s">
        <v>807</v>
      </c>
      <c r="F3" s="3" t="str">
        <f>B3</f>
        <v>The same machine produces TRUE for {A,G} and FALSE for {B,C,D,E,F}.</v>
      </c>
      <c r="G3" s="3" t="str">
        <f>"/admin/tests-for-success/" &amp; A3</f>
        <v>/admin/tests-for-success/tfs-both-sides</v>
      </c>
    </row>
    <row r="4">
      <c r="A4" s="2" t="s">
        <v>812</v>
      </c>
      <c r="B4" s="2" t="s">
        <v>813</v>
      </c>
      <c r="C4" s="2" t="s">
        <v>814</v>
      </c>
      <c r="D4" s="2" t="s">
        <v>815</v>
      </c>
      <c r="E4" s="2" t="s">
        <v>807</v>
      </c>
      <c r="F4" s="3" t="str">
        <f>B4</f>
        <v>Raw facts alone derive the keystone with no hand-entered answer anywhere.</v>
      </c>
      <c r="G4" s="3" t="str">
        <f>"/admin/tests-for-success/" &amp; A4</f>
        <v>/admin/tests-for-success/tfs-no-hand-entry</v>
      </c>
    </row>
    <row r="5">
      <c r="A5" s="2" t="s">
        <v>816</v>
      </c>
      <c r="B5" s="2" t="s">
        <v>817</v>
      </c>
      <c r="C5" s="2" t="s">
        <v>818</v>
      </c>
      <c r="D5" s="2" t="s">
        <v>243</v>
      </c>
      <c r="E5" s="2" t="s">
        <v>819</v>
      </c>
      <c r="F5" s="3" t="str">
        <f>B5</f>
        <v>Extracted leaf facts are checkable against the source case text, independently of the verdict.</v>
      </c>
      <c r="G5" s="3" t="str">
        <f>"/admin/tests-for-success/" &amp; A5</f>
        <v>/admin/tests-for-success/tfs-extraction-faithful</v>
      </c>
    </row>
    <row r="6">
      <c r="A6" s="2" t="s">
        <v>820</v>
      </c>
      <c r="B6" s="2" t="s">
        <v>821</v>
      </c>
      <c r="C6" s="2" t="s">
        <v>822</v>
      </c>
      <c r="D6" s="2" t="s">
        <v>815</v>
      </c>
      <c r="E6" s="2" t="s">
        <v>807</v>
      </c>
      <c r="F6" s="3" t="str">
        <f>B6</f>
        <v>All seven oracle patients resolve to their expected keystone value.</v>
      </c>
      <c r="G6" s="3" t="str">
        <f>"/admin/tests-for-success/" &amp; A6</f>
        <v>/admin/tests-for-success/tfs-all-seven</v>
      </c>
    </row>
    <row r="7">
      <c r="A7" s="2" t="s">
        <v>823</v>
      </c>
      <c r="B7" s="2" t="s">
        <v>824</v>
      </c>
      <c r="C7" s="2" t="s">
        <v>825</v>
      </c>
      <c r="D7" s="2" t="s">
        <v>826</v>
      </c>
      <c r="E7" s="2" t="s">
        <v>807</v>
      </c>
      <c r="F7" s="3" t="str">
        <f>B7</f>
        <v>Each derived node carries an expert-verifiable line of reasoning.</v>
      </c>
      <c r="G7" s="3" t="str">
        <f>"/admin/tests-for-success/" &amp; A7</f>
        <v>/admin/tests-for-success/tfs-witnessed-reasoning</v>
      </c>
    </row>
    <row r="8">
      <c r="A8" s="2" t="s">
        <v>827</v>
      </c>
      <c r="B8" s="2" t="s">
        <v>828</v>
      </c>
      <c r="C8" s="2" t="s">
        <v>829</v>
      </c>
      <c r="D8" s="2" t="s">
        <v>830</v>
      </c>
      <c r="E8" s="2" t="s">
        <v>819</v>
      </c>
      <c r="F8" s="3" t="str">
        <f>B8</f>
        <v>Every word the patient gave us appears somewhere in that patient's derived report (no patient input is dropped).</v>
      </c>
      <c r="G8" s="3" t="str">
        <f>"/admin/tests-for-success/" &amp; A8</f>
        <v>/admin/tests-for-success/tfs-report-covers-every-word</v>
      </c>
    </row>
    <row r="9">
      <c r="A9" s="2" t="s">
        <v>831</v>
      </c>
      <c r="B9" s="2" t="s">
        <v>832</v>
      </c>
      <c r="C9" s="2" t="s">
        <v>833</v>
      </c>
      <c r="D9" s="2" t="s">
        <v>830</v>
      </c>
      <c r="E9" s="2" t="s">
        <v>819</v>
      </c>
      <c r="F9" s="3" t="str">
        <f>B9</f>
        <v>Every DAG node linked to a patient, down to ground truth, is represented somewhere in that patient's report.</v>
      </c>
      <c r="G9" s="3" t="str">
        <f>"/admin/tests-for-success/" &amp; A9</f>
        <v>/admin/tests-for-success/tfs-report-covers-every-dag-node</v>
      </c>
    </row>
    <row r="10">
      <c r="A10" s="2" t="s">
        <v>834</v>
      </c>
      <c r="B10" s="2" t="s">
        <v>835</v>
      </c>
      <c r="C10" s="2" t="s">
        <v>836</v>
      </c>
      <c r="D10" s="2" t="s">
        <v>837</v>
      </c>
      <c r="E10" s="2" t="s">
        <v>819</v>
      </c>
      <c r="F10" s="3" t="str">
        <f>B10</f>
        <v>No narrative fragment field traverses, joins, or aggregates; each reads only sibling fields of its own row plus __meta__ phrases.</v>
      </c>
      <c r="G10" s="3" t="str">
        <f>"/admin/tests-for-success/" &amp; A10</f>
        <v>/admin/tests-for-success/tfs-report-cell-simple</v>
      </c>
    </row>
    <row r="11">
      <c r="A11" s="2" t="s">
        <v>838</v>
      </c>
      <c r="B11" s="2" t="s">
        <v>839</v>
      </c>
      <c r="C11" s="2" t="s">
        <v>840</v>
      </c>
      <c r="D11" s="2" t="s">
        <v>841</v>
      </c>
      <c r="E11" s="2" t="s">
        <v>819</v>
      </c>
      <c r="F11" s="3" t="str">
        <f>B11</f>
        <v>The same patient row always renders the byte-identical report; the report is a pure projection of the DAG with no model in the loop.</v>
      </c>
      <c r="G11" s="3" t="str">
        <f>"/admin/tests-for-success/" &amp; A11</f>
        <v>/admin/tests-for-success/tfs-report-deterministic</v>
      </c>
    </row>
  </sheetData>
  <autoFilter ref="A1:G1"/>
  <headerFooter/>
  <legacyDrawing r:id="rId1"/>
</worksheet>
</file>

<file path=xl/worksheets/sheet2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25"/>
  <sheetViews>
    <sheetView workbookViewId="0">
      <pane ySplit="1" topLeftCell="A2" state="frozen" activePane="bottomLeft"/>
      <selection pane="bottomLeft" activeCell="A1" sqref="A1"/>
    </sheetView>
  </sheetViews>
  <sheetFormatPr defaultRowHeight="15"/>
  <cols>
    <col min="1" max="1" width="41.808433532714844" customWidth="1"/>
    <col min="2" max="2" width="61.19738006591797" customWidth="1"/>
    <col min="3" max="3" width="25.258865356445312" customWidth="1"/>
    <col min="4" max="4" width="17.443378448486328" customWidth="1"/>
    <col min="5" max="5" width="256" customWidth="1"/>
    <col min="6" max="6" width="256" customWidth="1"/>
    <col min="7" max="7" width="256" customWidth="1"/>
    <col min="8" max="8" width="256" customWidth="1"/>
    <col min="9" max="9" width="17.443378448486328" customWidth="1"/>
    <col min="10" max="10" width="17.443378448486328" customWidth="1"/>
    <col min="11" max="11" width="61.19738006591797" customWidth="1"/>
    <col min="12" max="12" width="57.94158935546875" customWidth="1"/>
    <col min="13" max="13" width="90.17256164550781" customWidth="1"/>
  </cols>
  <sheetData>
    <row r="1">
      <c r="A1" s="1" t="s">
        <v>842</v>
      </c>
      <c r="B1" s="1" t="s">
        <v>843</v>
      </c>
      <c r="C1" s="1" t="s">
        <v>747</v>
      </c>
      <c r="D1" s="1" t="s">
        <v>844</v>
      </c>
      <c r="E1" s="1" t="s">
        <v>845</v>
      </c>
      <c r="F1" s="1" t="s">
        <v>846</v>
      </c>
      <c r="G1" s="1" t="s">
        <v>847</v>
      </c>
      <c r="H1" s="1" t="s">
        <v>848</v>
      </c>
      <c r="I1" s="1" t="s">
        <v>849</v>
      </c>
      <c r="J1" s="1" t="s">
        <v>850</v>
      </c>
      <c r="K1" s="1" t="s">
        <v>3</v>
      </c>
      <c r="L1" s="1" t="s">
        <v>4</v>
      </c>
      <c r="M1" s="1" t="s">
        <v>851</v>
      </c>
    </row>
    <row r="2">
      <c r="A2" s="2" t="s">
        <v>852</v>
      </c>
      <c r="B2" s="2" t="s">
        <v>853</v>
      </c>
      <c r="C2" s="2" t="s">
        <v>854</v>
      </c>
      <c r="D2" s="2" t="s">
        <v>855</v>
      </c>
      <c r="E2" s="2" t="s">
        <v>856</v>
      </c>
      <c r="F2" s="2" t="s">
        <v>857</v>
      </c>
      <c r="G2" s="2" t="s">
        <v>858</v>
      </c>
      <c r="H2" s="2" t="s">
        <v>859</v>
      </c>
      <c r="I2" s="2">
        <v>3</v>
      </c>
      <c r="J2" s="2" t="s">
        <v>243</v>
      </c>
      <c r="K2" s="3" t="str">
        <f>B2</f>
        <v>Four-gate clinical-actionability keystone</v>
      </c>
      <c r="L2" s="3" t="str">
        <f>"/admin/features/" &amp; A2</f>
        <v>/admin/features/feat-keystone-actionability-gate</v>
      </c>
      <c r="M2" s="3" t="str">
        <f>"**Category:** " &amp; C2 &amp; " - **Priority:** " &amp; D2 &amp; " - **Challenge refs:** " &amp; I2</f>
        <v>**Category:** Keystone / inference DAG - **Priority:** Load-bearing - **Challenge refs:** 3</v>
      </c>
    </row>
    <row r="3">
      <c r="A3" s="2" t="s">
        <v>860</v>
      </c>
      <c r="B3" s="2" t="s">
        <v>861</v>
      </c>
      <c r="C3" s="2" t="s">
        <v>854</v>
      </c>
      <c r="D3" s="2" t="s">
        <v>855</v>
      </c>
      <c r="E3" s="2" t="s">
        <v>862</v>
      </c>
      <c r="F3" s="2" t="s">
        <v>863</v>
      </c>
      <c r="G3" s="2" t="s">
        <v>864</v>
      </c>
      <c r="H3" s="2" t="s">
        <v>865</v>
      </c>
      <c r="I3" s="2">
        <v>2</v>
      </c>
      <c r="J3" s="2" t="s">
        <v>243</v>
      </c>
      <c r="K3" s="3" t="str">
        <f>B3</f>
        <v>Trust boundary as a line in the DAG</v>
      </c>
      <c r="L3" s="3" t="str">
        <f>"/admin/features/" &amp; A3</f>
        <v>/admin/features/feat-trust-boundary-line-in-dag</v>
      </c>
      <c r="M3" s="3" t="str">
        <f>"**Category:** " &amp; C3 &amp; " - **Priority:** " &amp; D3 &amp; " - **Challenge refs:** " &amp; I3</f>
        <v>**Category:** Keystone / inference DAG - **Priority:** Load-bearing - **Challenge refs:** 2</v>
      </c>
    </row>
    <row r="4">
      <c r="A4" s="2" t="s">
        <v>866</v>
      </c>
      <c r="B4" s="2" t="s">
        <v>867</v>
      </c>
      <c r="C4" s="2" t="s">
        <v>868</v>
      </c>
      <c r="D4" s="2" t="s">
        <v>855</v>
      </c>
      <c r="E4" s="2" t="s">
        <v>869</v>
      </c>
      <c r="F4" s="2" t="s">
        <v>870</v>
      </c>
      <c r="G4" s="2" t="s">
        <v>871</v>
      </c>
      <c r="H4" s="2" t="s">
        <v>872</v>
      </c>
      <c r="I4" s="2">
        <v>2</v>
      </c>
      <c r="J4" s="2" t="s">
        <v>243</v>
      </c>
      <c r="K4" s="3" t="str">
        <f>B4</f>
        <v>LLM intake clerk</v>
      </c>
      <c r="L4" s="3" t="str">
        <f>"/admin/features/" &amp; A4</f>
        <v>/admin/features/feat-llm-intake-clerk</v>
      </c>
      <c r="M4" s="3" t="str">
        <f>"**Category:** " &amp; C4 &amp; " - **Priority:** " &amp; D4 &amp; " - **Challenge refs:** " &amp; I4</f>
        <v>**Category:** Leaf / LLM surface - **Priority:** Load-bearing - **Challenge refs:** 2</v>
      </c>
    </row>
    <row r="5">
      <c r="A5" s="2" t="s">
        <v>873</v>
      </c>
      <c r="B5" s="2" t="s">
        <v>874</v>
      </c>
      <c r="C5" s="2" t="s">
        <v>868</v>
      </c>
      <c r="D5" s="2" t="s">
        <v>855</v>
      </c>
      <c r="E5" s="2" t="s">
        <v>875</v>
      </c>
      <c r="F5" s="2" t="s">
        <v>876</v>
      </c>
      <c r="G5" s="2" t="s">
        <v>877</v>
      </c>
      <c r="H5" s="2" t="s">
        <v>878</v>
      </c>
      <c r="I5" s="2">
        <v>2</v>
      </c>
      <c r="J5" s="2" t="s">
        <v>243</v>
      </c>
      <c r="K5" s="3" t="str">
        <f>B5</f>
        <v>Synthetic-but-transparent lab generator</v>
      </c>
      <c r="L5" s="3" t="str">
        <f>"/admin/features/" &amp; A5</f>
        <v>/admin/features/feat-synthetic-lab</v>
      </c>
      <c r="M5" s="3" t="str">
        <f>"**Category:** " &amp; C5 &amp; " - **Priority:** " &amp; D5 &amp; " - **Challenge refs:** " &amp; I5</f>
        <v>**Category:** Leaf / LLM surface - **Priority:** Load-bearing - **Challenge refs:** 2</v>
      </c>
    </row>
    <row r="6">
      <c r="A6" s="2" t="s">
        <v>879</v>
      </c>
      <c r="B6" s="2" t="s">
        <v>880</v>
      </c>
      <c r="C6" s="2" t="s">
        <v>881</v>
      </c>
      <c r="D6" s="2" t="s">
        <v>855</v>
      </c>
      <c r="E6" s="2" t="s">
        <v>882</v>
      </c>
      <c r="F6" s="2" t="s">
        <v>883</v>
      </c>
      <c r="G6" s="2" t="s">
        <v>884</v>
      </c>
      <c r="H6" s="2" t="s">
        <v>885</v>
      </c>
      <c r="I6" s="2">
        <v>1</v>
      </c>
      <c r="J6" s="2" t="s">
        <v>243</v>
      </c>
      <c r="K6" s="3" t="str">
        <f>B6</f>
        <v>Three-panel witness view</v>
      </c>
      <c r="L6" s="3" t="str">
        <f>"/admin/features/" &amp; A6</f>
        <v>/admin/features/feat-three-panel-witness</v>
      </c>
      <c r="M6" s="3" t="str">
        <f>"**Category:** " &amp; C6 &amp; " - **Priority:** " &amp; D6 &amp; " - **Challenge refs:** " &amp; I6</f>
        <v>**Category:** Witness / harness - **Priority:** Load-bearing - **Challenge refs:** 1</v>
      </c>
    </row>
    <row r="7">
      <c r="A7" s="2" t="s">
        <v>886</v>
      </c>
      <c r="B7" s="2" t="s">
        <v>887</v>
      </c>
      <c r="C7" s="2" t="s">
        <v>881</v>
      </c>
      <c r="D7" s="2" t="s">
        <v>855</v>
      </c>
      <c r="E7" s="2" t="s">
        <v>888</v>
      </c>
      <c r="F7" s="2" t="s">
        <v>889</v>
      </c>
      <c r="G7" s="2" t="s">
        <v>890</v>
      </c>
      <c r="H7" s="2" t="s">
        <v>891</v>
      </c>
      <c r="I7" s="2">
        <v>2</v>
      </c>
      <c r="J7" s="2" t="s">
        <v>243</v>
      </c>
      <c r="K7" s="3" t="str">
        <f>B7</f>
        <v>Witnessed red-&gt;green inference harness (home screen)</v>
      </c>
      <c r="L7" s="3" t="str">
        <f>"/admin/features/" &amp; A7</f>
        <v>/admin/features/feat-witnessed-harness-home</v>
      </c>
      <c r="M7" s="3" t="str">
        <f>"**Category:** " &amp; C7 &amp; " - **Priority:** " &amp; D7 &amp; " - **Challenge refs:** " &amp; I7</f>
        <v>**Category:** Witness / harness - **Priority:** Load-bearing - **Challenge refs:** 2</v>
      </c>
    </row>
    <row r="8">
      <c r="A8" s="2" t="s">
        <v>892</v>
      </c>
      <c r="B8" s="2" t="s">
        <v>893</v>
      </c>
      <c r="C8" s="2" t="s">
        <v>881</v>
      </c>
      <c r="D8" s="2" t="s">
        <v>855</v>
      </c>
      <c r="E8" s="2" t="s">
        <v>894</v>
      </c>
      <c r="F8" s="2" t="s">
        <v>883</v>
      </c>
      <c r="G8" s="2" t="s">
        <v>884</v>
      </c>
      <c r="H8" s="2" t="s">
        <v>895</v>
      </c>
      <c r="I8" s="2">
        <v>1</v>
      </c>
      <c r="J8" s="2" t="s">
        <v>896</v>
      </c>
      <c r="K8" s="3" t="str">
        <f>B8</f>
        <v>Knob-editing admin UI</v>
      </c>
      <c r="L8" s="3" t="str">
        <f>"/admin/features/" &amp; A8</f>
        <v>/admin/features/feat-knob-edit-ui</v>
      </c>
      <c r="M8" s="3" t="str">
        <f>"**Category:** " &amp; C8 &amp; " - **Priority:** " &amp; D8 &amp; " - **Challenge refs:** " &amp; I8</f>
        <v>**Category:** Witness / harness - **Priority:** Load-bearing - **Challenge refs:** 1</v>
      </c>
    </row>
    <row r="9">
      <c r="A9" s="2" t="s">
        <v>897</v>
      </c>
      <c r="B9" s="2" t="s">
        <v>898</v>
      </c>
      <c r="C9" s="2" t="s">
        <v>881</v>
      </c>
      <c r="D9" s="2" t="s">
        <v>855</v>
      </c>
      <c r="E9" s="2" t="s">
        <v>899</v>
      </c>
      <c r="F9" s="2" t="s">
        <v>900</v>
      </c>
      <c r="G9" s="2" t="s">
        <v>901</v>
      </c>
      <c r="H9" s="2" t="s">
        <v>902</v>
      </c>
      <c r="I9" s="2">
        <v>2</v>
      </c>
      <c r="J9" s="2" t="s">
        <v>903</v>
      </c>
      <c r="K9" s="3" t="str">
        <f>B9</f>
        <v>Gate explainability</v>
      </c>
      <c r="L9" s="3" t="str">
        <f>"/admin/features/" &amp; A9</f>
        <v>/admin/features/feat-gate-explainability</v>
      </c>
      <c r="M9" s="3" t="str">
        <f>"**Category:** " &amp; C9 &amp; " - **Priority:** " &amp; D9 &amp; " - **Challenge refs:** " &amp; I9</f>
        <v>**Category:** Witness / harness - **Priority:** Load-bearing - **Challenge refs:** 2</v>
      </c>
    </row>
    <row r="10">
      <c r="A10" s="2" t="s">
        <v>904</v>
      </c>
      <c r="B10" s="2" t="s">
        <v>905</v>
      </c>
      <c r="C10" s="2" t="s">
        <v>906</v>
      </c>
      <c r="D10" s="2" t="s">
        <v>855</v>
      </c>
      <c r="E10" s="2" t="s">
        <v>907</v>
      </c>
      <c r="F10" s="2" t="s">
        <v>908</v>
      </c>
      <c r="G10" s="2" t="s">
        <v>909</v>
      </c>
      <c r="H10" s="2" t="s">
        <v>910</v>
      </c>
      <c r="I10" s="2">
        <v>3</v>
      </c>
      <c r="J10" s="2" t="s">
        <v>243</v>
      </c>
      <c r="K10" s="3" t="str">
        <f>B10</f>
        <v>Disease-state machine derived from raw labs</v>
      </c>
      <c r="L10" s="3" t="str">
        <f>"/admin/features/" &amp; A10</f>
        <v>/admin/features/feat-disease-state-machine</v>
      </c>
      <c r="M10" s="3" t="str">
        <f>"**Category:** " &amp; C10 &amp; " - **Priority:** " &amp; D10 &amp; " - **Challenge refs:** " &amp; I10</f>
        <v>**Category:** Disease-state simulation - **Priority:** Load-bearing - **Challenge refs:** 3</v>
      </c>
    </row>
    <row r="11">
      <c r="A11" s="2" t="s">
        <v>911</v>
      </c>
      <c r="B11" s="2" t="s">
        <v>912</v>
      </c>
      <c r="C11" s="2" t="s">
        <v>906</v>
      </c>
      <c r="D11" s="2" t="s">
        <v>855</v>
      </c>
      <c r="E11" s="2" t="s">
        <v>913</v>
      </c>
      <c r="F11" s="2" t="s">
        <v>914</v>
      </c>
      <c r="G11" s="2" t="s">
        <v>915</v>
      </c>
      <c r="H11" s="2" t="s">
        <v>916</v>
      </c>
      <c r="I11" s="2">
        <v>2</v>
      </c>
      <c r="J11" s="2" t="s">
        <v>243</v>
      </c>
      <c r="K11" s="3" t="str">
        <f>B11</f>
        <v>Derived SLEDAI disease-activity score</v>
      </c>
      <c r="L11" s="3" t="str">
        <f>"/admin/features/" &amp; A11</f>
        <v>/admin/features/feat-sledai-activity-score</v>
      </c>
      <c r="M11" s="3" t="str">
        <f>"**Category:** " &amp; C11 &amp; " - **Priority:** " &amp; D11 &amp; " - **Challenge refs:** " &amp; I11</f>
        <v>**Category:** Disease-state simulation - **Priority:** Load-bearing - **Challenge refs:** 2</v>
      </c>
    </row>
    <row r="12">
      <c r="A12" s="2" t="s">
        <v>917</v>
      </c>
      <c r="B12" s="2" t="s">
        <v>918</v>
      </c>
      <c r="C12" s="2" t="s">
        <v>919</v>
      </c>
      <c r="D12" s="2" t="s">
        <v>855</v>
      </c>
      <c r="E12" s="2" t="s">
        <v>920</v>
      </c>
      <c r="F12" s="2" t="s">
        <v>921</v>
      </c>
      <c r="G12" s="2" t="s">
        <v>922</v>
      </c>
      <c r="H12" s="2" t="s">
        <v>923</v>
      </c>
      <c r="I12" s="2">
        <v>3</v>
      </c>
      <c r="J12" s="2" t="s">
        <v>243</v>
      </c>
      <c r="K12" s="3" t="str">
        <f>B12</f>
        <v>Derived treatment-line recommendation with one stated reason</v>
      </c>
      <c r="L12" s="3" t="str">
        <f>"/admin/features/" &amp; A12</f>
        <v>/admin/features/feat-treatment-line-recommendation</v>
      </c>
      <c r="M12" s="3" t="str">
        <f>"**Category:** " &amp; C12 &amp; " - **Priority:** " &amp; D12 &amp; " - **Challenge refs:** " &amp; I12</f>
        <v>**Category:** Treatment reasoning - **Priority:** Load-bearing - **Challenge refs:** 3</v>
      </c>
    </row>
    <row r="13">
      <c r="A13" s="2" t="s">
        <v>924</v>
      </c>
      <c r="B13" s="2" t="s">
        <v>925</v>
      </c>
      <c r="C13" s="2" t="s">
        <v>919</v>
      </c>
      <c r="D13" s="2" t="s">
        <v>926</v>
      </c>
      <c r="E13" s="2" t="s">
        <v>927</v>
      </c>
      <c r="F13" s="2" t="s">
        <v>928</v>
      </c>
      <c r="G13" s="2" t="s">
        <v>929</v>
      </c>
      <c r="H13" s="2" t="s">
        <v>930</v>
      </c>
      <c r="I13" s="2">
        <v>2</v>
      </c>
      <c r="J13" s="2" t="s">
        <v>243</v>
      </c>
      <c r="K13" s="3" t="str">
        <f>B13</f>
        <v>Treatment-response prediction via mechanism match</v>
      </c>
      <c r="L13" s="3" t="str">
        <f>"/admin/features/" &amp; A13</f>
        <v>/admin/features/feat-treatment-response-mechanism-match</v>
      </c>
      <c r="M13" s="3" t="str">
        <f>"**Category:** " &amp; C13 &amp; " - **Priority:** " &amp; D13 &amp; " - **Challenge refs:** " &amp; I13</f>
        <v>**Category:** Treatment reasoning - **Priority:** Supporting - **Challenge refs:** 2</v>
      </c>
    </row>
    <row r="14">
      <c r="A14" s="2" t="s">
        <v>931</v>
      </c>
      <c r="B14" s="2" t="s">
        <v>932</v>
      </c>
      <c r="C14" s="2" t="s">
        <v>933</v>
      </c>
      <c r="D14" s="2" t="s">
        <v>855</v>
      </c>
      <c r="E14" s="2" t="s">
        <v>934</v>
      </c>
      <c r="F14" s="2" t="s">
        <v>935</v>
      </c>
      <c r="G14" s="2" t="s">
        <v>936</v>
      </c>
      <c r="H14" s="2" t="s">
        <v>937</v>
      </c>
      <c r="I14" s="2">
        <v>3</v>
      </c>
      <c r="J14" s="2" t="s">
        <v>243</v>
      </c>
      <c r="K14" s="3" t="str">
        <f>B14</f>
        <v>Emergent serology-signature cluster (corpus-level discovery)</v>
      </c>
      <c r="L14" s="3" t="str">
        <f>"/admin/features/" &amp; A14</f>
        <v>/admin/features/feat-emergent-serology-cluster</v>
      </c>
      <c r="M14" s="3" t="str">
        <f>"**Category:** " &amp; C14 &amp; " - **Priority:** " &amp; D14 &amp; " - **Challenge refs:** " &amp; I14</f>
        <v>**Category:** Corpus-level discovery - **Priority:** Load-bearing - **Challenge refs:** 3</v>
      </c>
    </row>
    <row r="15">
      <c r="A15" s="2" t="s">
        <v>938</v>
      </c>
      <c r="B15" s="2" t="s">
        <v>939</v>
      </c>
      <c r="C15" s="2" t="s">
        <v>933</v>
      </c>
      <c r="D15" s="2" t="s">
        <v>855</v>
      </c>
      <c r="E15" s="2" t="s">
        <v>940</v>
      </c>
      <c r="F15" s="2" t="s">
        <v>941</v>
      </c>
      <c r="G15" s="2" t="s">
        <v>942</v>
      </c>
      <c r="H15" s="2" t="s">
        <v>943</v>
      </c>
      <c r="I15" s="2">
        <v>2</v>
      </c>
      <c r="J15" s="2" t="s">
        <v>243</v>
      </c>
      <c r="K15" s="3" t="str">
        <f>B15</f>
        <v>Evidence-gate &lt;-&gt; disease-state disagreement detector</v>
      </c>
      <c r="L15" s="3" t="str">
        <f>"/admin/features/" &amp; A15</f>
        <v>/admin/features/feat-evidence-disease-disagreement</v>
      </c>
      <c r="M15" s="3" t="str">
        <f>"**Category:** " &amp; C15 &amp; " - **Priority:** " &amp; D15 &amp; " - **Challenge refs:** " &amp; I15</f>
        <v>**Category:** Corpus-level discovery - **Priority:** Load-bearing - **Challenge refs:** 2</v>
      </c>
    </row>
    <row r="16">
      <c r="A16" s="2" t="s">
        <v>944</v>
      </c>
      <c r="B16" s="2" t="s">
        <v>945</v>
      </c>
      <c r="C16" s="2" t="s">
        <v>933</v>
      </c>
      <c r="D16" s="2" t="s">
        <v>926</v>
      </c>
      <c r="E16" s="2" t="s">
        <v>946</v>
      </c>
      <c r="F16" s="2" t="s">
        <v>947</v>
      </c>
      <c r="G16" s="2" t="s">
        <v>948</v>
      </c>
      <c r="H16" s="2" t="s">
        <v>949</v>
      </c>
      <c r="I16" s="2">
        <v>2</v>
      </c>
      <c r="J16" s="2" t="s">
        <v>243</v>
      </c>
      <c r="K16" s="3" t="str">
        <f>B16</f>
        <v>Cohort discovery board (corpus surface)</v>
      </c>
      <c r="L16" s="3" t="str">
        <f>"/admin/features/" &amp; A16</f>
        <v>/admin/features/feat-cohort-discovery-board</v>
      </c>
      <c r="M16" s="3" t="str">
        <f>"**Category:** " &amp; C16 &amp; " - **Priority:** " &amp; D16 &amp; " - **Challenge refs:** " &amp; I16</f>
        <v>**Category:** Corpus-level discovery - **Priority:** Supporting - **Challenge refs:** 2</v>
      </c>
    </row>
    <row r="17">
      <c r="A17" s="2" t="s">
        <v>950</v>
      </c>
      <c r="B17" s="2" t="s">
        <v>951</v>
      </c>
      <c r="C17" s="2" t="s">
        <v>952</v>
      </c>
      <c r="D17" s="2" t="s">
        <v>855</v>
      </c>
      <c r="E17" s="2" t="s">
        <v>953</v>
      </c>
      <c r="F17" s="2" t="s">
        <v>954</v>
      </c>
      <c r="G17" s="2" t="s">
        <v>955</v>
      </c>
      <c r="H17" s="2" t="s">
        <v>956</v>
      </c>
      <c r="I17" s="2">
        <v>1</v>
      </c>
      <c r="J17" s="2" t="s">
        <v>243</v>
      </c>
      <c r="K17" s="3" t="str">
        <f>B17</f>
        <v>Per-patient diagnosis writeup</v>
      </c>
      <c r="L17" s="3" t="str">
        <f>"/admin/features/" &amp; A17</f>
        <v>/admin/features/feat-diagnosis-writeup</v>
      </c>
      <c r="M17" s="3" t="str">
        <f>"**Category:** " &amp; C17 &amp; " - **Priority:** " &amp; D17 &amp; " - **Challenge refs:** " &amp; I17</f>
        <v>**Category:** Reporting - **Priority:** Load-bearing - **Challenge refs:** 1</v>
      </c>
    </row>
    <row r="18">
      <c r="A18" s="2" t="s">
        <v>957</v>
      </c>
      <c r="B18" s="2" t="s">
        <v>958</v>
      </c>
      <c r="C18" s="2" t="s">
        <v>952</v>
      </c>
      <c r="D18" s="2" t="s">
        <v>926</v>
      </c>
      <c r="E18" s="2" t="s">
        <v>959</v>
      </c>
      <c r="F18" s="2" t="s">
        <v>960</v>
      </c>
      <c r="G18" s="2" t="s">
        <v>961</v>
      </c>
      <c r="H18" s="2" t="s">
        <v>962</v>
      </c>
      <c r="I18" s="2">
        <v>1</v>
      </c>
      <c r="J18" s="2" t="s">
        <v>243</v>
      </c>
      <c r="K18" s="3" t="str">
        <f>B18</f>
        <v>Derived narrative fragment fields</v>
      </c>
      <c r="L18" s="3" t="str">
        <f>"/admin/features/" &amp; A18</f>
        <v>/admin/features/feat-derived-report-fragments</v>
      </c>
      <c r="M18" s="3" t="str">
        <f>"**Category:** " &amp; C18 &amp; " - **Priority:** " &amp; D18 &amp; " - **Challenge refs:** " &amp; I18</f>
        <v>**Category:** Reporting - **Priority:** Supporting - **Challenge refs:** 1</v>
      </c>
    </row>
    <row r="19">
      <c r="A19" s="2" t="s">
        <v>963</v>
      </c>
      <c r="B19" s="2" t="s">
        <v>964</v>
      </c>
      <c r="C19" s="2" t="s">
        <v>952</v>
      </c>
      <c r="D19" s="2" t="s">
        <v>926</v>
      </c>
      <c r="E19" s="2" t="s">
        <v>965</v>
      </c>
      <c r="F19" s="2" t="s">
        <v>966</v>
      </c>
      <c r="G19" s="2" t="s">
        <v>967</v>
      </c>
      <c r="H19" s="2" t="s">
        <v>968</v>
      </c>
      <c r="I19" s="2">
        <v>0</v>
      </c>
      <c r="J19" s="2" t="s">
        <v>243</v>
      </c>
      <c r="K19" s="3" t="str">
        <f>B19</f>
        <v>Global phrasebook in __meta__</v>
      </c>
      <c r="L19" s="3" t="str">
        <f>"/admin/features/" &amp; A19</f>
        <v>/admin/features/feat-report-meta-phrasebook</v>
      </c>
      <c r="M19" s="3" t="str">
        <f>"**Category:** " &amp; C19 &amp; " - **Priority:** " &amp; D19 &amp; " - **Challenge refs:** " &amp; I19</f>
        <v>**Category:** Reporting - **Priority:** Supporting - **Challenge refs:** 0</v>
      </c>
    </row>
    <row r="20">
      <c r="A20" s="2" t="s">
        <v>969</v>
      </c>
      <c r="B20" s="2" t="s">
        <v>970</v>
      </c>
      <c r="C20" s="2" t="s">
        <v>952</v>
      </c>
      <c r="D20" s="2" t="s">
        <v>926</v>
      </c>
      <c r="E20" s="2" t="s">
        <v>971</v>
      </c>
      <c r="F20" s="2" t="s">
        <v>966</v>
      </c>
      <c r="G20" s="2" t="s">
        <v>967</v>
      </c>
      <c r="H20" s="2" t="s">
        <v>972</v>
      </c>
      <c r="I20" s="2">
        <v>0</v>
      </c>
      <c r="J20" s="2" t="s">
        <v>243</v>
      </c>
      <c r="K20" s="3" t="str">
        <f>B20</f>
        <v>Thin Python report renderer (replaces handlebars)</v>
      </c>
      <c r="L20" s="3" t="str">
        <f>"/admin/features/" &amp; A20</f>
        <v>/admin/features/feat-report-renderer</v>
      </c>
      <c r="M20" s="3" t="str">
        <f>"**Category:** " &amp; C20 &amp; " - **Priority:** " &amp; D20 &amp; " - **Challenge refs:** " &amp; I20</f>
        <v>**Category:** Reporting - **Priority:** Supporting - **Challenge refs:** 0</v>
      </c>
    </row>
    <row r="21">
      <c r="A21" s="2" t="s">
        <v>973</v>
      </c>
      <c r="B21" s="2" t="s">
        <v>974</v>
      </c>
      <c r="C21" s="2" t="s">
        <v>952</v>
      </c>
      <c r="D21" s="2" t="s">
        <v>926</v>
      </c>
      <c r="E21" s="2" t="s">
        <v>975</v>
      </c>
      <c r="F21" s="2" t="s">
        <v>966</v>
      </c>
      <c r="G21" s="2" t="s">
        <v>967</v>
      </c>
      <c r="H21" s="2" t="s">
        <v>976</v>
      </c>
      <c r="I21" s="2">
        <v>0</v>
      </c>
      <c r="J21" s="2" t="s">
        <v>243</v>
      </c>
      <c r="K21" s="3" t="str">
        <f>B21</f>
        <v>Report total-coverage harness</v>
      </c>
      <c r="L21" s="3" t="str">
        <f>"/admin/features/" &amp; A21</f>
        <v>/admin/features/feat-report-total-coverage-check</v>
      </c>
      <c r="M21" s="3" t="str">
        <f>"**Category:** " &amp; C21 &amp; " - **Priority:** " &amp; D21 &amp; " - **Challenge refs:** " &amp; I21</f>
        <v>**Category:** Reporting - **Priority:** Supporting - **Challenge refs:** 0</v>
      </c>
    </row>
    <row r="22">
      <c r="A22" s="2" t="s">
        <v>977</v>
      </c>
      <c r="B22" s="2" t="s">
        <v>978</v>
      </c>
      <c r="C22" s="2" t="s">
        <v>979</v>
      </c>
      <c r="D22" s="2" t="s">
        <v>926</v>
      </c>
      <c r="E22" s="2" t="s">
        <v>980</v>
      </c>
      <c r="F22" s="2" t="s">
        <v>960</v>
      </c>
      <c r="G22" s="2" t="s">
        <v>961</v>
      </c>
      <c r="H22" s="2" t="s">
        <v>981</v>
      </c>
      <c r="I22" s="2">
        <v>1</v>
      </c>
      <c r="J22" s="2" t="s">
        <v>243</v>
      </c>
      <c r="K22" s="3" t="str">
        <f>B22</f>
        <v>In-app Explainer DAG (clickable field provenance)</v>
      </c>
      <c r="L22" s="3" t="str">
        <f>"/admin/features/" &amp; A22</f>
        <v>/admin/features/feat-explainer-dag</v>
      </c>
      <c r="M22" s="3" t="str">
        <f>"**Category:** " &amp; C22 &amp; " - **Priority:** " &amp; D22 &amp; " - **Challenge refs:** " &amp; I22</f>
        <v>**Category:** Platform infrastructure - **Priority:** Supporting - **Challenge refs:** 1</v>
      </c>
    </row>
    <row r="23">
      <c r="A23" s="2" t="s">
        <v>982</v>
      </c>
      <c r="B23" s="2" t="s">
        <v>983</v>
      </c>
      <c r="C23" s="2" t="s">
        <v>979</v>
      </c>
      <c r="D23" s="2" t="s">
        <v>926</v>
      </c>
      <c r="E23" s="2" t="s">
        <v>984</v>
      </c>
      <c r="F23" s="2" t="s">
        <v>985</v>
      </c>
      <c r="G23" s="2" t="s">
        <v>986</v>
      </c>
      <c r="H23" s="2" t="s">
        <v>987</v>
      </c>
      <c r="I23" s="2">
        <v>1</v>
      </c>
      <c r="J23" s="2" t="s">
        <v>243</v>
      </c>
      <c r="K23" s="3" t="str">
        <f>B23</f>
        <v>URL-driven routing &amp; role navigation</v>
      </c>
      <c r="L23" s="3" t="str">
        <f>"/admin/features/" &amp; A23</f>
        <v>/admin/features/feat-url-driven-routing</v>
      </c>
      <c r="M23" s="3" t="str">
        <f>"**Category:** " &amp; C23 &amp; " - **Priority:** " &amp; D23 &amp; " - **Challenge refs:** " &amp; I23</f>
        <v>**Category:** Platform infrastructure - **Priority:** Supporting - **Challenge refs:** 1</v>
      </c>
    </row>
    <row r="24">
      <c r="A24" s="2" t="s">
        <v>988</v>
      </c>
      <c r="B24" s="2" t="s">
        <v>989</v>
      </c>
      <c r="C24" s="2" t="s">
        <v>979</v>
      </c>
      <c r="D24" s="2" t="s">
        <v>926</v>
      </c>
      <c r="E24" s="2" t="s">
        <v>990</v>
      </c>
      <c r="F24" s="2" t="s">
        <v>966</v>
      </c>
      <c r="G24" s="2" t="s">
        <v>967</v>
      </c>
      <c r="H24" s="2" t="s">
        <v>991</v>
      </c>
      <c r="I24" s="2">
        <v>0</v>
      </c>
      <c r="J24" s="2" t="s">
        <v>243</v>
      </c>
      <c r="K24" s="3" t="str">
        <f>B24</f>
        <v>Reverse-sync DB -&gt; rulebook (input spoke)</v>
      </c>
      <c r="L24" s="3" t="str">
        <f>"/admin/features/" &amp; A24</f>
        <v>/admin/features/feat-reverse-sync-db-to-rulebook</v>
      </c>
      <c r="M24" s="3" t="str">
        <f>"**Category:** " &amp; C24 &amp; " - **Priority:** " &amp; D24 &amp; " - **Challenge refs:** " &amp; I24</f>
        <v>**Category:** Platform infrastructure - **Priority:** Supporting - **Challenge refs:** 0</v>
      </c>
    </row>
    <row r="25">
      <c r="A25" s="2" t="s">
        <v>992</v>
      </c>
      <c r="B25" s="2" t="s">
        <v>993</v>
      </c>
      <c r="C25" s="2" t="s">
        <v>979</v>
      </c>
      <c r="D25" s="2" t="s">
        <v>855</v>
      </c>
      <c r="E25" s="2" t="s">
        <v>994</v>
      </c>
      <c r="F25" s="2" t="s">
        <v>995</v>
      </c>
      <c r="G25" s="2" t="s">
        <v>996</v>
      </c>
      <c r="H25" s="2" t="s">
        <v>997</v>
      </c>
      <c r="I25" s="2">
        <v>3</v>
      </c>
      <c r="J25" s="2" t="s">
        <v>243</v>
      </c>
      <c r="K25" s="3" t="str">
        <f>B25</f>
        <v>Honest coverage map (modeled vs. vocabulary-only)</v>
      </c>
      <c r="L25" s="3" t="str">
        <f>"/admin/features/" &amp; A25</f>
        <v>/admin/features/feat-coverage-map-honesty</v>
      </c>
      <c r="M25" s="3" t="str">
        <f>"**Category:** " &amp; C25 &amp; " - **Priority:** " &amp; D25 &amp; " - **Challenge refs:** " &amp; I25</f>
        <v>**Category:** Platform infrastructure - **Priority:** Load-bearing - **Challenge refs:** 3</v>
      </c>
    </row>
  </sheetData>
  <autoFilter ref="A1:M1"/>
  <headerFooter/>
  <legacyDrawing r:id="rId1"/>
</worksheet>
</file>

<file path=xl/worksheets/sheet2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8"/>
  <sheetViews>
    <sheetView workbookViewId="0">
      <pane ySplit="1" topLeftCell="A2" state="frozen" activePane="bottomLeft"/>
      <selection pane="bottomLeft" activeCell="A1" sqref="A1"/>
    </sheetView>
  </sheetViews>
  <sheetFormatPr defaultRowHeight="15"/>
  <cols>
    <col min="1" max="1" width="30.0468807220459" customWidth="1"/>
    <col min="2" max="2" width="39.957855224609375" customWidth="1"/>
    <col min="3" max="3" width="256" customWidth="1"/>
    <col min="4" max="4" width="100.41948699951172" customWidth="1"/>
    <col min="5" max="5" width="120.85283660888672" customWidth="1"/>
    <col min="6" max="6" width="17.443378448486328" customWidth="1"/>
    <col min="7" max="7" width="17.443378448486328" customWidth="1"/>
    <col min="8" max="8" width="39.957855224609375" customWidth="1"/>
    <col min="9" max="9" width="53.01541519165039" customWidth="1"/>
  </cols>
  <sheetData>
    <row r="1">
      <c r="A1" s="1" t="s">
        <v>998</v>
      </c>
      <c r="B1" s="1" t="s">
        <v>843</v>
      </c>
      <c r="C1" s="1" t="s">
        <v>845</v>
      </c>
      <c r="D1" s="1" t="s">
        <v>999</v>
      </c>
      <c r="E1" s="1" t="s">
        <v>1000</v>
      </c>
      <c r="F1" s="1" t="s">
        <v>1001</v>
      </c>
      <c r="G1" s="1" t="s">
        <v>21</v>
      </c>
      <c r="H1" s="1" t="s">
        <v>3</v>
      </c>
      <c r="I1" s="1" t="s">
        <v>4</v>
      </c>
    </row>
    <row r="2">
      <c r="A2" s="2" t="s">
        <v>1002</v>
      </c>
      <c r="B2" s="2" t="s">
        <v>1003</v>
      </c>
      <c r="C2" s="2" t="s">
        <v>1004</v>
      </c>
      <c r="D2" s="2" t="s">
        <v>1005</v>
      </c>
      <c r="E2" s="2" t="s">
        <v>1006</v>
      </c>
      <c r="F2" s="2" t="s">
        <v>1007</v>
      </c>
      <c r="G2" s="2">
        <v>1</v>
      </c>
      <c r="H2" s="3" t="str">
        <f>B2</f>
        <v>Lookup / FK resolution</v>
      </c>
      <c r="I2" s="3" t="str">
        <f>"/admin/inference-kinds/" &amp; A2</f>
        <v>/admin/inference-kinds/ik-lookup-fk</v>
      </c>
    </row>
    <row r="3">
      <c r="A3" s="2" t="s">
        <v>1008</v>
      </c>
      <c r="B3" s="2" t="s">
        <v>1009</v>
      </c>
      <c r="C3" s="2" t="s">
        <v>1010</v>
      </c>
      <c r="D3" s="2" t="s">
        <v>1011</v>
      </c>
      <c r="E3" s="2" t="s">
        <v>1012</v>
      </c>
      <c r="F3" s="2" t="s">
        <v>1007</v>
      </c>
      <c r="G3" s="2">
        <v>2</v>
      </c>
      <c r="H3" s="3" t="str">
        <f>B3</f>
        <v>Aggregation rollups</v>
      </c>
      <c r="I3" s="3" t="str">
        <f>"/admin/inference-kinds/" &amp; A3</f>
        <v>/admin/inference-kinds/ik-aggregation-rollup</v>
      </c>
    </row>
    <row r="4">
      <c r="A4" s="2" t="s">
        <v>1013</v>
      </c>
      <c r="B4" s="2" t="s">
        <v>1014</v>
      </c>
      <c r="C4" s="2" t="s">
        <v>1015</v>
      </c>
      <c r="D4" s="2" t="s">
        <v>1016</v>
      </c>
      <c r="E4" s="2" t="s">
        <v>1017</v>
      </c>
      <c r="F4" s="2" t="s">
        <v>1007</v>
      </c>
      <c r="G4" s="2">
        <v>3</v>
      </c>
      <c r="H4" s="3" t="str">
        <f>B4</f>
        <v>Higher-order inference (gates over gates)</v>
      </c>
      <c r="I4" s="3" t="str">
        <f>"/admin/inference-kinds/" &amp; A4</f>
        <v>/admin/inference-kinds/ik-higher-order</v>
      </c>
    </row>
    <row r="5">
      <c r="A5" s="2" t="s">
        <v>1018</v>
      </c>
      <c r="B5" s="2" t="s">
        <v>1019</v>
      </c>
      <c r="C5" s="2" t="s">
        <v>1020</v>
      </c>
      <c r="D5" s="2" t="s">
        <v>1021</v>
      </c>
      <c r="E5" s="2" t="s">
        <v>1022</v>
      </c>
      <c r="F5" s="2" t="s">
        <v>1007</v>
      </c>
      <c r="G5" s="2">
        <v>4</v>
      </c>
      <c r="H5" s="3" t="str">
        <f>B5</f>
        <v>State-machine derivation</v>
      </c>
      <c r="I5" s="3" t="str">
        <f>"/admin/inference-kinds/" &amp; A5</f>
        <v>/admin/inference-kinds/ik-state-machine</v>
      </c>
    </row>
    <row r="6">
      <c r="A6" s="2" t="s">
        <v>1023</v>
      </c>
      <c r="B6" s="2" t="s">
        <v>1024</v>
      </c>
      <c r="C6" s="2" t="s">
        <v>1025</v>
      </c>
      <c r="D6" s="2" t="s">
        <v>1026</v>
      </c>
      <c r="E6" s="2" t="s">
        <v>1027</v>
      </c>
      <c r="F6" s="2" t="s">
        <v>1007</v>
      </c>
      <c r="G6" s="2">
        <v>5</v>
      </c>
      <c r="H6" s="3" t="str">
        <f>B6</f>
        <v>Transitive closure (reachability inference)</v>
      </c>
      <c r="I6" s="3" t="str">
        <f>"/admin/inference-kinds/" &amp; A6</f>
        <v>/admin/inference-kinds/ik-transitive-closure</v>
      </c>
    </row>
    <row r="7">
      <c r="A7" s="2" t="s">
        <v>1028</v>
      </c>
      <c r="B7" s="2" t="s">
        <v>1029</v>
      </c>
      <c r="C7" s="2" t="s">
        <v>1030</v>
      </c>
      <c r="D7" s="2" t="s">
        <v>1031</v>
      </c>
      <c r="E7" s="2" t="s">
        <v>1032</v>
      </c>
      <c r="F7" s="2" t="s">
        <v>1007</v>
      </c>
      <c r="G7" s="2">
        <v>6</v>
      </c>
      <c r="H7" s="3" t="str">
        <f>B7</f>
        <v>Predicate-gated narrative</v>
      </c>
      <c r="I7" s="3" t="str">
        <f>"/admin/inference-kinds/" &amp; A7</f>
        <v>/admin/inference-kinds/ik-predicate-narrative</v>
      </c>
    </row>
    <row r="8">
      <c r="A8" s="2" t="s">
        <v>1033</v>
      </c>
      <c r="B8" s="2" t="s">
        <v>1034</v>
      </c>
      <c r="C8" s="2" t="s">
        <v>1035</v>
      </c>
      <c r="D8" s="2" t="s">
        <v>1036</v>
      </c>
      <c r="E8" s="2" t="s">
        <v>1037</v>
      </c>
      <c r="F8" s="2" t="s">
        <v>1007</v>
      </c>
      <c r="G8" s="2">
        <v>7</v>
      </c>
      <c r="H8" s="3" t="str">
        <f>B8</f>
        <v>Cross-substrate conformance</v>
      </c>
      <c r="I8" s="3" t="str">
        <f>"/admin/inference-kinds/" &amp; A8</f>
        <v>/admin/inference-kinds/ik-cross-substrate-conformance</v>
      </c>
    </row>
  </sheetData>
  <autoFilter ref="A1:I1"/>
  <headerFooter/>
  <legacyDrawing r:id="rId1"/>
</worksheet>
</file>

<file path=xl/worksheets/sheet2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pane ySplit="1" topLeftCell="A2" state="frozen" activePane="bottomLeft"/>
      <selection pane="bottomLeft" activeCell="A1" sqref="A1"/>
    </sheetView>
  </sheetViews>
  <sheetFormatPr defaultRowHeight="15"/>
  <cols>
    <col min="1" max="1" width="25.147783279418945" customWidth="1"/>
    <col min="2" max="2" width="146.94943237304688" customWidth="1"/>
    <col min="3" max="3" width="256" customWidth="1"/>
    <col min="4" max="4" width="138.72401428222656" customWidth="1"/>
    <col min="5" max="5" width="17.443378448486328" customWidth="1"/>
    <col min="6" max="6" width="146.94943237304688" customWidth="1"/>
    <col min="7" max="7" width="47.291107177734375" customWidth="1"/>
  </cols>
  <sheetData>
    <row r="1">
      <c r="A1" s="1" t="s">
        <v>1038</v>
      </c>
      <c r="B1" s="1" t="s">
        <v>1039</v>
      </c>
      <c r="C1" s="1" t="s">
        <v>1040</v>
      </c>
      <c r="D1" s="1" t="s">
        <v>1041</v>
      </c>
      <c r="E1" s="1" t="s">
        <v>1042</v>
      </c>
      <c r="F1" s="1" t="s">
        <v>3</v>
      </c>
      <c r="G1" s="1" t="s">
        <v>4</v>
      </c>
    </row>
    <row r="2">
      <c r="A2" s="2" t="s">
        <v>1043</v>
      </c>
      <c r="B2" s="2" t="s">
        <v>1044</v>
      </c>
      <c r="C2" s="2" t="s">
        <v>1045</v>
      </c>
      <c r="D2" s="2" t="s">
        <v>243</v>
      </c>
      <c r="E2" s="2" t="b">
        <v>0</v>
      </c>
      <c r="F2" s="3" t="str">
        <f>B2</f>
        <v>Publish README now as a design/thesis doc, or hold until the harness goes green?</v>
      </c>
      <c r="G2" s="3" t="str">
        <f>"/admin/open-questions/" &amp; A2</f>
        <v>/admin/open-questions/oq-publish-now</v>
      </c>
    </row>
    <row r="3">
      <c r="A3" s="2" t="s">
        <v>1046</v>
      </c>
      <c r="B3" s="2" t="s">
        <v>1047</v>
      </c>
      <c r="C3" s="2" t="s">
        <v>1048</v>
      </c>
      <c r="D3" s="2" t="s">
        <v>1049</v>
      </c>
      <c r="E3" s="2" t="b">
        <v>1</v>
      </c>
      <c r="F3" s="3" t="str">
        <f>B3</f>
        <v>Does the LLM extract facts present in the case, or invent plausible facts for a described case?</v>
      </c>
      <c r="G3" s="3" t="str">
        <f>"/admin/open-questions/" &amp; A3</f>
        <v>/admin/open-questions/oq-extract-vs-invent</v>
      </c>
    </row>
    <row r="4">
      <c r="A4" s="2" t="s">
        <v>1050</v>
      </c>
      <c r="B4" s="2" t="s">
        <v>1051</v>
      </c>
      <c r="C4" s="2" t="s">
        <v>1052</v>
      </c>
      <c r="D4" s="2" t="s">
        <v>243</v>
      </c>
      <c r="E4" s="2" t="b">
        <v>0</v>
      </c>
      <c r="F4" s="3" t="str">
        <f>B4</f>
        <v>Confirm the reworded README prompt shares no distinctive phrasing with the prospect's original.</v>
      </c>
      <c r="G4" s="3" t="str">
        <f>"/admin/open-questions/" &amp; A4</f>
        <v>/admin/open-questions/oq-reworded-prompt</v>
      </c>
    </row>
    <row r="5">
      <c r="A5" s="2" t="s">
        <v>1053</v>
      </c>
      <c r="B5" s="2" t="s">
        <v>1054</v>
      </c>
      <c r="C5" s="2" t="s">
        <v>1055</v>
      </c>
      <c r="D5" s="2" t="s">
        <v>243</v>
      </c>
      <c r="E5" s="2" t="b">
        <v>0</v>
      </c>
      <c r="F5" s="3" t="str">
        <f>B5</f>
        <v>On which tables do the narrative fragment fields live, and how are per-case fragments composed up into one report — section order, headers, grouping?</v>
      </c>
      <c r="G5" s="3" t="str">
        <f>"/admin/open-questions/" &amp; A5</f>
        <v>/admin/open-questions/oq-fragment-fields-where</v>
      </c>
    </row>
  </sheetData>
  <autoFilter ref="A1:G1"/>
  <headerFooter/>
  <legacyDrawing r:id="rId1"/>
</worksheet>
</file>

<file path=xl/worksheets/sheet2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6"/>
  <sheetViews>
    <sheetView workbookViewId="0">
      <pane ySplit="1" topLeftCell="A2" state="frozen" activePane="bottomLeft"/>
      <selection pane="bottomLeft" activeCell="A1" sqref="A1"/>
    </sheetView>
  </sheetViews>
  <sheetFormatPr defaultRowHeight="15"/>
  <cols>
    <col min="1" max="1" width="20.14011001586914" customWidth="1"/>
    <col min="2" max="2" width="126.50662994384766" customWidth="1"/>
    <col min="3" max="3" width="114.56481170654297" customWidth="1"/>
    <col min="4" max="4" width="126.50662994384766" customWidth="1"/>
    <col min="5" max="5" width="36.82530975341797" customWidth="1"/>
  </cols>
  <sheetData>
    <row r="1">
      <c r="A1" s="1" t="s">
        <v>1056</v>
      </c>
      <c r="B1" s="1" t="s">
        <v>745</v>
      </c>
      <c r="C1" s="1" t="s">
        <v>1057</v>
      </c>
      <c r="D1" s="1" t="s">
        <v>3</v>
      </c>
      <c r="E1" s="1" t="s">
        <v>4</v>
      </c>
    </row>
    <row r="2">
      <c r="A2" s="2" t="s">
        <v>1058</v>
      </c>
      <c r="B2" s="2" t="s">
        <v>1059</v>
      </c>
      <c r="C2" s="2" t="s">
        <v>1060</v>
      </c>
      <c r="D2" s="3" t="str">
        <f>B2</f>
        <v>This is not validated clinical decision support and must never be used for clinical purposes.</v>
      </c>
      <c r="E2" s="3" t="str">
        <f>"/admin/non-goals/" &amp; A2</f>
        <v>/admin/non-goals/ng-clinical-use</v>
      </c>
    </row>
    <row r="3">
      <c r="A3" s="2" t="s">
        <v>1061</v>
      </c>
      <c r="B3" s="2" t="s">
        <v>1062</v>
      </c>
      <c r="C3" s="2" t="s">
        <v>1063</v>
      </c>
      <c r="D3" s="3" t="str">
        <f>B3</f>
        <v>This is not a CRUD UI.</v>
      </c>
      <c r="E3" s="3" t="str">
        <f>"/admin/non-goals/" &amp; A3</f>
        <v>/admin/non-goals/ng-crud-ui</v>
      </c>
    </row>
    <row r="4">
      <c r="A4" s="2" t="s">
        <v>1064</v>
      </c>
      <c r="B4" s="2" t="s">
        <v>1065</v>
      </c>
      <c r="C4" s="2" t="s">
        <v>1066</v>
      </c>
      <c r="D4" s="3" t="str">
        <f>B4</f>
        <v>The LLM does not perform higher-order reasoning or render the diagnosis.</v>
      </c>
      <c r="E4" s="3" t="str">
        <f>"/admin/non-goals/" &amp; A4</f>
        <v>/admin/non-goals/ng-llm-reasoning</v>
      </c>
    </row>
    <row r="5">
      <c r="A5" s="2" t="s">
        <v>1067</v>
      </c>
      <c r="B5" s="2" t="s">
        <v>1068</v>
      </c>
      <c r="C5" s="2" t="s">
        <v>1069</v>
      </c>
      <c r="D5" s="3" t="str">
        <f>B5</f>
        <v>The full omics breadth (counterfactual trajectories, most modalities, epistasis, exposures) is not on the keystone's dependency path.</v>
      </c>
      <c r="E5" s="3" t="str">
        <f>"/admin/non-goals/" &amp; A5</f>
        <v>/admin/non-goals/ng-full-breadth</v>
      </c>
    </row>
    <row r="6">
      <c r="A6" s="2" t="s">
        <v>1070</v>
      </c>
      <c r="B6" s="2" t="s">
        <v>1071</v>
      </c>
      <c r="C6" s="2" t="s">
        <v>1072</v>
      </c>
      <c r="D6" s="3" t="str">
        <f>B6</f>
        <v>Never publish the prospect's verbatim problem text.</v>
      </c>
      <c r="E6" s="3" t="str">
        <f>"/admin/non-goals/" &amp; A6</f>
        <v>/admin/non-goals/ng-publish-verbatim</v>
      </c>
    </row>
  </sheetData>
  <autoFilter ref="A1:E1"/>
  <headerFooter/>
  <legacyDrawing r:id="rId1"/>
</worksheet>
</file>

<file path=xl/worksheets/sheet2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4"/>
  <sheetViews>
    <sheetView workbookViewId="0">
      <pane ySplit="1" topLeftCell="A2" state="frozen" activePane="bottomLeft"/>
      <selection pane="bottomLeft" activeCell="A1" sqref="A1"/>
    </sheetView>
  </sheetViews>
  <sheetFormatPr defaultRowHeight="15"/>
  <cols>
    <col min="1" max="1" width="33.37306594848633" customWidth="1"/>
    <col min="2" max="2" width="30.477060317993164" customWidth="1"/>
    <col min="3" max="3" width="256" customWidth="1"/>
    <col min="4" max="4" width="30.477060317993164" customWidth="1"/>
    <col min="5" max="5" width="49.50783920288086" customWidth="1"/>
  </cols>
  <sheetData>
    <row r="1">
      <c r="A1" s="1" t="s">
        <v>1073</v>
      </c>
      <c r="B1" s="1" t="s">
        <v>1074</v>
      </c>
      <c r="C1" s="1" t="s">
        <v>1075</v>
      </c>
      <c r="D1" s="1" t="s">
        <v>3</v>
      </c>
      <c r="E1" s="1" t="s">
        <v>4</v>
      </c>
    </row>
    <row r="2">
      <c r="A2" s="2" t="s">
        <v>1076</v>
      </c>
      <c r="B2" s="2" t="s">
        <v>765</v>
      </c>
      <c r="C2" s="2" t="s">
        <v>1077</v>
      </c>
      <c r="D2" s="3" t="str">
        <f>B2</f>
        <v>knob</v>
      </c>
      <c r="E2" s="3" t="str">
        <f>"/admin/glossary/" &amp; A2</f>
        <v>/admin/glossary/gt-knob</v>
      </c>
    </row>
    <row r="3">
      <c r="A3" s="2" t="s">
        <v>1078</v>
      </c>
      <c r="B3" s="2" t="s">
        <v>1079</v>
      </c>
      <c r="C3" s="2" t="s">
        <v>1080</v>
      </c>
      <c r="D3" s="3" t="str">
        <f>B3</f>
        <v>intake clerk + lab</v>
      </c>
      <c r="E3" s="3" t="str">
        <f>"/admin/glossary/" &amp; A3</f>
        <v>/admin/glossary/gt-intake-clerk-lab</v>
      </c>
    </row>
    <row r="4">
      <c r="A4" s="2" t="s">
        <v>1081</v>
      </c>
      <c r="B4" s="2" t="s">
        <v>1082</v>
      </c>
      <c r="C4" s="2" t="s">
        <v>1083</v>
      </c>
      <c r="D4" s="3" t="str">
        <f>B4</f>
        <v>line in the DAG</v>
      </c>
      <c r="E4" s="3" t="str">
        <f>"/admin/glossary/" &amp; A4</f>
        <v>/admin/glossary/gt-line-in-dag</v>
      </c>
    </row>
    <row r="5">
      <c r="A5" s="2" t="s">
        <v>1084</v>
      </c>
      <c r="B5" s="2" t="s">
        <v>1085</v>
      </c>
      <c r="C5" s="2" t="s">
        <v>1086</v>
      </c>
      <c r="D5" s="3" t="str">
        <f>B5</f>
        <v>three-panel witness</v>
      </c>
      <c r="E5" s="3" t="str">
        <f>"/admin/glossary/" &amp; A5</f>
        <v>/admin/glossary/gt-three-panel-witness</v>
      </c>
    </row>
    <row r="6">
      <c r="A6" s="2" t="s">
        <v>1087</v>
      </c>
      <c r="B6" s="2" t="s">
        <v>1088</v>
      </c>
      <c r="C6" s="2" t="s">
        <v>1089</v>
      </c>
      <c r="D6" s="3" t="str">
        <f>B6</f>
        <v>fake-but-transparent</v>
      </c>
      <c r="E6" s="3" t="str">
        <f>"/admin/glossary/" &amp; A6</f>
        <v>/admin/glossary/gt-fake-but-transparent</v>
      </c>
    </row>
    <row r="7">
      <c r="A7" s="2" t="s">
        <v>1090</v>
      </c>
      <c r="B7" s="2" t="s">
        <v>1091</v>
      </c>
      <c r="C7" s="2" t="s">
        <v>1092</v>
      </c>
      <c r="D7" s="3" t="str">
        <f>B7</f>
        <v>laundering objection</v>
      </c>
      <c r="E7" s="3" t="str">
        <f>"/admin/glossary/" &amp; A7</f>
        <v>/admin/glossary/gt-laundering-objection</v>
      </c>
    </row>
    <row r="8">
      <c r="A8" s="2" t="s">
        <v>1093</v>
      </c>
      <c r="B8" s="2" t="s">
        <v>1094</v>
      </c>
      <c r="C8" s="2" t="s">
        <v>1095</v>
      </c>
      <c r="D8" s="3" t="str">
        <f>B8</f>
        <v>disease state simulator</v>
      </c>
      <c r="E8" s="3" t="str">
        <f>"/admin/glossary/" &amp; A8</f>
        <v>/admin/glossary/gt-disease-state-simulator</v>
      </c>
    </row>
    <row r="9">
      <c r="A9" s="2" t="s">
        <v>1096</v>
      </c>
      <c r="B9" s="2" t="s">
        <v>1097</v>
      </c>
      <c r="C9" s="2" t="s">
        <v>1098</v>
      </c>
      <c r="D9" s="3" t="str">
        <f>B9</f>
        <v>evidence gate</v>
      </c>
      <c r="E9" s="3" t="str">
        <f>"/admin/glossary/" &amp; A9</f>
        <v>/admin/glossary/gt-evidence-gate</v>
      </c>
    </row>
    <row r="10">
      <c r="A10" s="2" t="s">
        <v>1099</v>
      </c>
      <c r="B10" s="2" t="s">
        <v>1100</v>
      </c>
      <c r="C10" s="2" t="s">
        <v>1101</v>
      </c>
      <c r="D10" s="3" t="str">
        <f>B10</f>
        <v>disease progression machine</v>
      </c>
      <c r="E10" s="3" t="str">
        <f>"/admin/glossary/" &amp; A10</f>
        <v>/admin/glossary/gt-disease-progression-machine</v>
      </c>
    </row>
    <row r="11">
      <c r="A11" s="2" t="s">
        <v>1102</v>
      </c>
      <c r="B11" s="2" t="s">
        <v>1103</v>
      </c>
      <c r="C11" s="2" t="s">
        <v>1104</v>
      </c>
      <c r="D11" s="3" t="str">
        <f>B11</f>
        <v>dwell time</v>
      </c>
      <c r="E11" s="3" t="str">
        <f>"/admin/glossary/" &amp; A11</f>
        <v>/admin/glossary/gt-dwell-time</v>
      </c>
    </row>
    <row r="12">
      <c r="A12" s="2" t="s">
        <v>1105</v>
      </c>
      <c r="B12" s="2" t="s">
        <v>1106</v>
      </c>
      <c r="C12" s="2" t="s">
        <v>1107</v>
      </c>
      <c r="D12" s="3" t="str">
        <f>B12</f>
        <v>serology trajectory</v>
      </c>
      <c r="E12" s="3" t="str">
        <f>"/admin/glossary/" &amp; A12</f>
        <v>/admin/glossary/gt-serology-trajectory</v>
      </c>
    </row>
    <row r="13">
      <c r="A13" s="2" t="s">
        <v>1108</v>
      </c>
      <c r="B13" s="2" t="s">
        <v>1109</v>
      </c>
      <c r="C13" s="2" t="s">
        <v>1110</v>
      </c>
      <c r="D13" s="3" t="str">
        <f>B13</f>
        <v>treatment line recommendation</v>
      </c>
      <c r="E13" s="3" t="str">
        <f>"/admin/glossary/" &amp; A13</f>
        <v>/admin/glossary/gt-treatment-line-recommendation</v>
      </c>
    </row>
    <row r="14">
      <c r="A14" s="2" t="s">
        <v>1111</v>
      </c>
      <c r="B14" s="2" t="s">
        <v>1112</v>
      </c>
      <c r="C14" s="2" t="s">
        <v>1113</v>
      </c>
      <c r="D14" s="3" t="str">
        <f>B14</f>
        <v>corpus discovery</v>
      </c>
      <c r="E14" s="3" t="str">
        <f>"/admin/glossary/" &amp; A14</f>
        <v>/admin/glossary/gt-corpus-discovery</v>
      </c>
    </row>
  </sheetData>
  <autoFilter ref="A1:E1"/>
  <headerFooter/>
  <legacyDrawing r:id="rId1"/>
</worksheet>
</file>

<file path=xl/worksheets/sheet2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17"/>
  <sheetViews>
    <sheetView workbookViewId="0">
      <pane ySplit="1" topLeftCell="A2" state="frozen" activePane="bottomLeft"/>
      <selection pane="bottomLeft" activeCell="A1" sqref="A1"/>
    </sheetView>
  </sheetViews>
  <sheetFormatPr defaultRowHeight="15"/>
  <cols>
    <col min="1" max="1" width="26.427881240844727" customWidth="1"/>
    <col min="2" max="2" width="17.443378448486328" customWidth="1"/>
    <col min="3" max="3" width="80.55647277832031" customWidth="1"/>
    <col min="4" max="4" width="256" customWidth="1"/>
    <col min="5" max="5" width="17.443378448486328" customWidth="1"/>
    <col min="6" max="6" width="180.3408203125" customWidth="1"/>
    <col min="7" max="7" width="256" customWidth="1"/>
    <col min="8" max="8" width="17.443378448486328" customWidth="1"/>
    <col min="9" max="9" width="91.7009048461914" customWidth="1"/>
    <col min="10" max="10" width="48.83095932006836" customWidth="1"/>
    <col min="11" max="11" width="17.443378448486328" customWidth="1"/>
    <col min="12" max="12" width="17.443378448486328" customWidth="1"/>
    <col min="13" max="13" width="17.443378448486328" customWidth="1"/>
    <col min="14" max="14" width="256" customWidth="1"/>
  </cols>
  <sheetData>
    <row r="1">
      <c r="A1" s="1" t="s">
        <v>1114</v>
      </c>
      <c r="B1" s="1" t="s">
        <v>1115</v>
      </c>
      <c r="C1" s="1" t="s">
        <v>843</v>
      </c>
      <c r="D1" s="1" t="s">
        <v>1116</v>
      </c>
      <c r="E1" s="1" t="s">
        <v>802</v>
      </c>
      <c r="F1" s="1" t="s">
        <v>1117</v>
      </c>
      <c r="G1" s="1" t="s">
        <v>1118</v>
      </c>
      <c r="H1" s="1" t="s">
        <v>21</v>
      </c>
      <c r="I1" s="1" t="s">
        <v>3</v>
      </c>
      <c r="J1" s="1" t="s">
        <v>4</v>
      </c>
      <c r="K1" s="1" t="s">
        <v>1119</v>
      </c>
      <c r="L1" s="1" t="s">
        <v>1120</v>
      </c>
      <c r="M1" s="1" t="s">
        <v>1121</v>
      </c>
      <c r="N1" s="1" t="s">
        <v>1122</v>
      </c>
    </row>
    <row r="2">
      <c r="A2" s="2" t="s">
        <v>1123</v>
      </c>
      <c r="B2" s="2" t="s">
        <v>1124</v>
      </c>
      <c r="C2" s="2" t="s">
        <v>1125</v>
      </c>
      <c r="D2" s="2" t="s">
        <v>1126</v>
      </c>
      <c r="E2" s="2" t="s">
        <v>1127</v>
      </c>
      <c r="F2" s="2" t="s">
        <v>1128</v>
      </c>
      <c r="G2" s="2" t="s">
        <v>1129</v>
      </c>
      <c r="H2" s="2">
        <v>0</v>
      </c>
      <c r="I2" s="3" t="str">
        <f>CONCATENATE("Loop ", B2, " — ", C2)</f>
        <v>Loop 0 — Solve-by-inference rulebook</v>
      </c>
      <c r="J2" s="3" t="str">
        <f>"/admin/effortless-loops/" &amp; A2</f>
        <v>/admin/effortless-loops/loop-0</v>
      </c>
      <c r="K2" s="3" t="str">
        <f>E2</f>
        <v>done</v>
      </c>
      <c r="L2" s="3" t="b">
        <f>IF(E2 = "done", FALSE, TRUE)</f>
        <v>0</v>
      </c>
      <c r="M2" s="2" t="s">
        <v>1130</v>
      </c>
      <c r="N2" s="2" t="s">
        <v>1131</v>
      </c>
    </row>
    <row r="3">
      <c r="A3" s="2" t="s">
        <v>1132</v>
      </c>
      <c r="B3" s="2" t="s">
        <v>1133</v>
      </c>
      <c r="C3" s="2" t="s">
        <v>1134</v>
      </c>
      <c r="D3" s="2" t="s">
        <v>1135</v>
      </c>
      <c r="E3" s="2" t="s">
        <v>1127</v>
      </c>
      <c r="F3" s="2" t="s">
        <v>1136</v>
      </c>
      <c r="G3" s="2" t="s">
        <v>1137</v>
      </c>
      <c r="H3" s="2">
        <v>1</v>
      </c>
      <c r="I3" s="3" t="str">
        <f>CONCATENATE("Loop ", B3, " — ", C3)</f>
        <v>Loop 0.5 — Test Harness First (the red contract)</v>
      </c>
      <c r="J3" s="3" t="str">
        <f>"/admin/effortless-loops/" &amp; A3</f>
        <v>/admin/effortless-loops/loop-0-5</v>
      </c>
      <c r="K3" s="3" t="str">
        <f>E3</f>
        <v>done</v>
      </c>
      <c r="L3" s="3" t="b">
        <f>IF(E3 = "done", FALSE, TRUE)</f>
        <v>0</v>
      </c>
      <c r="M3" s="2" t="s">
        <v>1130</v>
      </c>
      <c r="N3" s="2" t="s">
        <v>1138</v>
      </c>
    </row>
    <row r="4">
      <c r="A4" s="2" t="s">
        <v>1139</v>
      </c>
      <c r="B4" s="2" t="s">
        <v>1140</v>
      </c>
      <c r="C4" s="2" t="s">
        <v>1141</v>
      </c>
      <c r="D4" s="2" t="s">
        <v>1142</v>
      </c>
      <c r="E4" s="2" t="s">
        <v>1127</v>
      </c>
      <c r="F4" s="2" t="s">
        <v>1143</v>
      </c>
      <c r="G4" s="2" t="s">
        <v>1144</v>
      </c>
      <c r="H4" s="2">
        <v>2</v>
      </c>
      <c r="I4" s="3" t="str">
        <f>CONCATENATE("Loop ", B4, " — ", C4)</f>
        <v>Loop 1 — Intake app skeleton</v>
      </c>
      <c r="J4" s="3" t="str">
        <f>"/admin/effortless-loops/" &amp; A4</f>
        <v>/admin/effortless-loops/loop-1</v>
      </c>
      <c r="K4" s="3" t="str">
        <f>E4</f>
        <v>done</v>
      </c>
      <c r="L4" s="3" t="b">
        <f>IF(E4 = "done", FALSE, TRUE)</f>
        <v>0</v>
      </c>
      <c r="M4" s="2" t="s">
        <v>1130</v>
      </c>
      <c r="N4" s="2" t="s">
        <v>1145</v>
      </c>
    </row>
    <row r="5">
      <c r="A5" s="2" t="s">
        <v>896</v>
      </c>
      <c r="B5" s="2" t="s">
        <v>1146</v>
      </c>
      <c r="C5" s="2" t="s">
        <v>1147</v>
      </c>
      <c r="D5" s="2" t="s">
        <v>1148</v>
      </c>
      <c r="E5" s="2" t="s">
        <v>1127</v>
      </c>
      <c r="F5" s="2" t="s">
        <v>1149</v>
      </c>
      <c r="G5" s="2" t="s">
        <v>1150</v>
      </c>
      <c r="H5" s="2">
        <v>3</v>
      </c>
      <c r="I5" s="3" t="str">
        <f>CONCATENATE("Loop ", B5, " — ", C5)</f>
        <v>Loop 2 — Patient intake (facts in)</v>
      </c>
      <c r="J5" s="3" t="str">
        <f>"/admin/effortless-loops/" &amp; A5</f>
        <v>/admin/effortless-loops/loop-2</v>
      </c>
      <c r="K5" s="3" t="str">
        <f>E5</f>
        <v>done</v>
      </c>
      <c r="L5" s="3" t="b">
        <f>IF(E5 = "done", FALSE, TRUE)</f>
        <v>0</v>
      </c>
      <c r="M5" s="2" t="s">
        <v>1130</v>
      </c>
      <c r="N5" s="2" t="s">
        <v>1151</v>
      </c>
    </row>
    <row r="6">
      <c r="A6" s="2" t="s">
        <v>903</v>
      </c>
      <c r="B6" s="2" t="s">
        <v>1152</v>
      </c>
      <c r="C6" s="2" t="s">
        <v>1153</v>
      </c>
      <c r="D6" s="2" t="s">
        <v>1154</v>
      </c>
      <c r="E6" s="2" t="s">
        <v>1127</v>
      </c>
      <c r="F6" s="2" t="s">
        <v>1155</v>
      </c>
      <c r="G6" s="2" t="s">
        <v>1156</v>
      </c>
      <c r="H6" s="2">
        <v>4</v>
      </c>
      <c r="I6" s="3" t="str">
        <f>CONCATENATE("Loop ", B6, " — ", C6)</f>
        <v>Loop 3 — 3-panel witness — provenance back into the case text</v>
      </c>
      <c r="J6" s="3" t="str">
        <f>"/admin/effortless-loops/" &amp; A6</f>
        <v>/admin/effortless-loops/loop-3</v>
      </c>
      <c r="K6" s="3" t="str">
        <f>E6</f>
        <v>done</v>
      </c>
      <c r="L6" s="3" t="b">
        <f>IF(E6 = "done", FALSE, TRUE)</f>
        <v>0</v>
      </c>
      <c r="M6" s="2" t="s">
        <v>1130</v>
      </c>
      <c r="N6" s="2" t="s">
        <v>1157</v>
      </c>
    </row>
    <row r="7">
      <c r="A7" s="2" t="s">
        <v>1158</v>
      </c>
      <c r="B7" s="2" t="s">
        <v>1159</v>
      </c>
      <c r="C7" s="2" t="s">
        <v>1160</v>
      </c>
      <c r="D7" s="2" t="s">
        <v>1161</v>
      </c>
      <c r="E7" s="2" t="s">
        <v>1127</v>
      </c>
      <c r="F7" s="2" t="s">
        <v>1162</v>
      </c>
      <c r="G7" s="2" t="s">
        <v>1163</v>
      </c>
      <c r="H7" s="2">
        <v>5</v>
      </c>
      <c r="I7" s="3" t="str">
        <f>CONCATENATE("Loop ", B7, " — ", C7)</f>
        <v>Loop 4 — Second prediction type (severity)</v>
      </c>
      <c r="J7" s="3" t="str">
        <f>"/admin/effortless-loops/" &amp; A7</f>
        <v>/admin/effortless-loops/loop-4</v>
      </c>
      <c r="K7" s="3" t="str">
        <f>E7</f>
        <v>done</v>
      </c>
      <c r="L7" s="3" t="b">
        <f>IF(E7 = "done", FALSE, TRUE)</f>
        <v>0</v>
      </c>
      <c r="M7" s="2" t="s">
        <v>1130</v>
      </c>
      <c r="N7" s="2" t="s">
        <v>1164</v>
      </c>
    </row>
    <row r="8">
      <c r="A8" s="2" t="s">
        <v>1165</v>
      </c>
      <c r="B8" s="2" t="s">
        <v>1166</v>
      </c>
      <c r="C8" s="2" t="s">
        <v>1167</v>
      </c>
      <c r="D8" s="2" t="s">
        <v>1168</v>
      </c>
      <c r="E8" s="2" t="s">
        <v>1127</v>
      </c>
      <c r="F8" s="2" t="s">
        <v>1169</v>
      </c>
      <c r="G8" s="2" t="s">
        <v>1170</v>
      </c>
      <c r="H8" s="2">
        <v>6</v>
      </c>
      <c r="I8" s="3" t="str">
        <f>CONCATENATE("Loop ", B8, " — ", C8)</f>
        <v>Loop 5 — Treatment-response prediction</v>
      </c>
      <c r="J8" s="3" t="str">
        <f>"/admin/effortless-loops/" &amp; A8</f>
        <v>/admin/effortless-loops/loop-5</v>
      </c>
      <c r="K8" s="3" t="str">
        <f>E8</f>
        <v>done</v>
      </c>
      <c r="L8" s="3" t="b">
        <f>IF(E8 = "done", FALSE, TRUE)</f>
        <v>0</v>
      </c>
      <c r="M8" s="2" t="s">
        <v>1130</v>
      </c>
      <c r="N8" s="2" t="s">
        <v>1171</v>
      </c>
    </row>
    <row r="9">
      <c r="A9" s="2" t="s">
        <v>1172</v>
      </c>
      <c r="B9" s="2" t="s">
        <v>1173</v>
      </c>
      <c r="C9" s="2" t="s">
        <v>1174</v>
      </c>
      <c r="D9" s="2" t="s">
        <v>1175</v>
      </c>
      <c r="E9" s="2" t="s">
        <v>1127</v>
      </c>
      <c r="F9" s="2" t="s">
        <v>1176</v>
      </c>
      <c r="G9" s="2" t="s">
        <v>1177</v>
      </c>
      <c r="H9" s="2">
        <v>7</v>
      </c>
      <c r="I9" s="3" t="str">
        <f>CONCATENATE("Loop ", B9, " — ", C9)</f>
        <v>Loop 6 — Vocabulary completeness - every audit-named concept enters the hub</v>
      </c>
      <c r="J9" s="3" t="str">
        <f>"/admin/effortless-loops/" &amp; A9</f>
        <v>/admin/effortless-loops/loop-vocab-completeness</v>
      </c>
      <c r="K9" s="3" t="str">
        <f>E9</f>
        <v>done</v>
      </c>
      <c r="L9" s="3" t="b">
        <f>IF(E9 = "done", FALSE, TRUE)</f>
        <v>0</v>
      </c>
      <c r="M9" s="2" t="s">
        <v>1130</v>
      </c>
      <c r="N9" s="2" t="s">
        <v>1178</v>
      </c>
    </row>
    <row r="10">
      <c r="A10" s="2" t="s">
        <v>1179</v>
      </c>
      <c r="B10" s="2" t="s">
        <v>1180</v>
      </c>
      <c r="C10" s="2" t="s">
        <v>1181</v>
      </c>
      <c r="D10" s="2" t="s">
        <v>1182</v>
      </c>
      <c r="E10" s="2" t="s">
        <v>1127</v>
      </c>
      <c r="F10" s="2" t="s">
        <v>1183</v>
      </c>
      <c r="G10" s="2" t="s">
        <v>1184</v>
      </c>
      <c r="H10" s="2">
        <v>8</v>
      </c>
      <c r="I10" s="3" t="str">
        <f>CONCATENATE("Loop ", B10, " — ", C10)</f>
        <v>Loop 7 — Disease-state simulator - the layer the audit said did not exist</v>
      </c>
      <c r="J10" s="3" t="str">
        <f>"/admin/effortless-loops/" &amp; A10</f>
        <v>/admin/effortless-loops/loop-disease-state</v>
      </c>
      <c r="K10" s="3" t="str">
        <f>E10</f>
        <v>done</v>
      </c>
      <c r="L10" s="3" t="b">
        <f>IF(E10 = "done", FALSE, TRUE)</f>
        <v>0</v>
      </c>
      <c r="M10" s="2" t="s">
        <v>1130</v>
      </c>
      <c r="N10" s="2" t="s">
        <v>1185</v>
      </c>
    </row>
    <row r="11">
      <c r="A11" s="2" t="s">
        <v>1186</v>
      </c>
      <c r="B11" s="2" t="s">
        <v>1187</v>
      </c>
      <c r="C11" s="2" t="s">
        <v>1188</v>
      </c>
      <c r="D11" s="2" t="s">
        <v>1189</v>
      </c>
      <c r="E11" s="2" t="s">
        <v>1127</v>
      </c>
      <c r="F11" s="2" t="s">
        <v>1190</v>
      </c>
      <c r="G11" s="2" t="s">
        <v>1191</v>
      </c>
      <c r="H11" s="2">
        <v>9</v>
      </c>
      <c r="I11" s="3" t="str">
        <f>CONCATENATE("Loop ", B11, " — ", C11)</f>
        <v>Loop 8 — Treatment-line recommendation + the disagreement counter-example</v>
      </c>
      <c r="J11" s="3" t="str">
        <f>"/admin/effortless-loops/" &amp; A11</f>
        <v>/admin/effortless-loops/loop-treatment-line</v>
      </c>
      <c r="K11" s="3" t="str">
        <f>E11</f>
        <v>done</v>
      </c>
      <c r="L11" s="3" t="b">
        <f>IF(E11 = "done", FALSE, TRUE)</f>
        <v>0</v>
      </c>
      <c r="M11" s="2" t="s">
        <v>1130</v>
      </c>
      <c r="N11" s="2" t="s">
        <v>1192</v>
      </c>
    </row>
    <row r="12">
      <c r="A12" s="2" t="s">
        <v>1193</v>
      </c>
      <c r="B12" s="2" t="s">
        <v>1194</v>
      </c>
      <c r="C12" s="2" t="s">
        <v>1195</v>
      </c>
      <c r="D12" s="2" t="s">
        <v>1196</v>
      </c>
      <c r="E12" s="2" t="s">
        <v>1127</v>
      </c>
      <c r="F12" s="2" t="s">
        <v>1197</v>
      </c>
      <c r="G12" s="2" t="s">
        <v>1198</v>
      </c>
      <c r="H12" s="2">
        <v>10</v>
      </c>
      <c r="I12" s="3" t="str">
        <f>CONCATENATE("Loop ", B12, " — ", C12)</f>
        <v>Loop 9 — Cohort discovery board - the corpus-level surface</v>
      </c>
      <c r="J12" s="3" t="str">
        <f>"/admin/effortless-loops/" &amp; A12</f>
        <v>/admin/effortless-loops/loop-cohort-discovery</v>
      </c>
      <c r="K12" s="3" t="str">
        <f>E12</f>
        <v>done</v>
      </c>
      <c r="L12" s="3" t="b">
        <f>IF(E12 = "done", FALSE, TRUE)</f>
        <v>0</v>
      </c>
      <c r="M12" s="2" t="s">
        <v>1130</v>
      </c>
      <c r="N12" s="2" t="s">
        <v>1199</v>
      </c>
    </row>
    <row r="13">
      <c r="A13" s="2" t="s">
        <v>1200</v>
      </c>
      <c r="B13" s="2" t="s">
        <v>1201</v>
      </c>
      <c r="C13" s="2" t="s">
        <v>1202</v>
      </c>
      <c r="D13" s="2" t="s">
        <v>1203</v>
      </c>
      <c r="E13" s="2" t="s">
        <v>1127</v>
      </c>
      <c r="F13" s="2" t="s">
        <v>1204</v>
      </c>
      <c r="G13" s="2" t="s">
        <v>1205</v>
      </c>
      <c r="H13" s="2">
        <v>11</v>
      </c>
      <c r="I13" s="3" t="str">
        <f>CONCATENATE("Loop ", B13, " — ", C13)</f>
        <v>Loop 10 — Progression machine in the state-machine admin</v>
      </c>
      <c r="J13" s="3" t="str">
        <f>"/admin/effortless-loops/" &amp; A13</f>
        <v>/admin/effortless-loops/loop-progression-admin</v>
      </c>
      <c r="K13" s="3" t="str">
        <f>E13</f>
        <v>done</v>
      </c>
      <c r="L13" s="3" t="b">
        <f>IF(E13 = "done", FALSE, TRUE)</f>
        <v>0</v>
      </c>
      <c r="M13" s="2" t="s">
        <v>1130</v>
      </c>
      <c r="N13" s="2" t="s">
        <v>1206</v>
      </c>
    </row>
    <row r="14">
      <c r="A14" s="2" t="s">
        <v>1207</v>
      </c>
      <c r="B14" s="2" t="s">
        <v>1208</v>
      </c>
      <c r="C14" s="2" t="s">
        <v>1209</v>
      </c>
      <c r="D14" s="2" t="s">
        <v>1210</v>
      </c>
      <c r="E14" s="2" t="s">
        <v>1127</v>
      </c>
      <c r="F14" s="2" t="s">
        <v>1211</v>
      </c>
      <c r="G14" s="2" t="s">
        <v>1212</v>
      </c>
      <c r="H14" s="2">
        <v>12</v>
      </c>
      <c r="I14" s="3" t="str">
        <f>CONCATENATE("Loop ", B14, " — ", C14)</f>
        <v>Loop 11 — Serology-signature discovery - emergent cluster, not a label</v>
      </c>
      <c r="J14" s="3" t="str">
        <f>"/admin/effortless-loops/" &amp; A14</f>
        <v>/admin/effortless-loops/loop-serology-discovery</v>
      </c>
      <c r="K14" s="3" t="str">
        <f>E14</f>
        <v>done</v>
      </c>
      <c r="L14" s="3" t="b">
        <f>IF(E14 = "done", FALSE, TRUE)</f>
        <v>0</v>
      </c>
      <c r="M14" s="2" t="s">
        <v>1130</v>
      </c>
      <c r="N14" s="2" t="s">
        <v>1213</v>
      </c>
    </row>
    <row r="15">
      <c r="A15" s="2" t="s">
        <v>1214</v>
      </c>
      <c r="B15" s="2" t="s">
        <v>1215</v>
      </c>
      <c r="C15" s="2" t="s">
        <v>1216</v>
      </c>
      <c r="D15" s="2" t="s">
        <v>1217</v>
      </c>
      <c r="E15" s="2" t="s">
        <v>1127</v>
      </c>
      <c r="F15" s="2" t="s">
        <v>1218</v>
      </c>
      <c r="G15" s="2" t="s">
        <v>1219</v>
      </c>
      <c r="H15" s="2">
        <v>13</v>
      </c>
      <c r="I15" s="3" t="str">
        <f>CONCATENATE("Loop ", B15, " — ", C15)</f>
        <v>Loop 12 — Prune excess engineering - keep only what is load-bearing for the v1 audit response</v>
      </c>
      <c r="J15" s="3" t="str">
        <f>"/admin/effortless-loops/" &amp; A15</f>
        <v>/admin/effortless-loops/loop-prune-nonloadbearing</v>
      </c>
      <c r="K15" s="3" t="str">
        <f>E15</f>
        <v>done</v>
      </c>
      <c r="L15" s="3" t="b">
        <f>IF(E15 = "done", FALSE, TRUE)</f>
        <v>0</v>
      </c>
      <c r="M15" s="2" t="s">
        <v>1130</v>
      </c>
      <c r="N15" s="2" t="s">
        <v>1220</v>
      </c>
    </row>
    <row r="16">
      <c r="A16" s="2" t="s">
        <v>1221</v>
      </c>
      <c r="B16" s="2" t="s">
        <v>1222</v>
      </c>
      <c r="C16" s="2" t="s">
        <v>1223</v>
      </c>
      <c r="D16" s="2" t="s">
        <v>1224</v>
      </c>
      <c r="E16" s="2" t="s">
        <v>1225</v>
      </c>
      <c r="F16" s="2" t="s">
        <v>1226</v>
      </c>
      <c r="G16" s="2" t="s">
        <v>1227</v>
      </c>
      <c r="H16" s="2">
        <v>14</v>
      </c>
      <c r="I16" s="3" t="str">
        <f>CONCATENATE("Loop ", B16, " — ", C16)</f>
        <v>Loop 13 — LLM intake clerk + synthetic lab</v>
      </c>
      <c r="J16" s="3" t="str">
        <f>"/admin/effortless-loops/" &amp; A16</f>
        <v>/admin/effortless-loops/loop-llm-intake</v>
      </c>
      <c r="K16" s="3" t="str">
        <f>E16</f>
        <v>roadmap</v>
      </c>
      <c r="L16" s="3" t="b">
        <f>IF(E16 = "done", FALSE, TRUE)</f>
        <v>1</v>
      </c>
      <c r="M16" s="2" t="s">
        <v>1228</v>
      </c>
      <c r="N16" s="2" t="s">
        <v>243</v>
      </c>
    </row>
    <row r="17">
      <c r="A17" s="2" t="s">
        <v>1229</v>
      </c>
      <c r="B17" s="2" t="s">
        <v>1230</v>
      </c>
      <c r="C17" s="2" t="s">
        <v>1231</v>
      </c>
      <c r="D17" s="2" t="s">
        <v>1232</v>
      </c>
      <c r="E17" s="2" t="s">
        <v>1225</v>
      </c>
      <c r="F17" s="2" t="s">
        <v>243</v>
      </c>
      <c r="G17" s="2" t="s">
        <v>243</v>
      </c>
      <c r="H17" s="2">
        <v>15</v>
      </c>
      <c r="I17" s="3" t="str">
        <f>CONCATENATE("Loop ", B17, " — ", C17)</f>
        <v>Loop 14 — Cohort-level equity report</v>
      </c>
      <c r="J17" s="3" t="str">
        <f>"/admin/effortless-loops/" &amp; A17</f>
        <v>/admin/effortless-loops/loop-equity</v>
      </c>
      <c r="K17" s="3" t="str">
        <f>E17</f>
        <v>roadmap</v>
      </c>
      <c r="L17" s="3" t="b">
        <f>IF(E17 = "done", FALSE, TRUE)</f>
        <v>1</v>
      </c>
      <c r="M17" s="2" t="s">
        <v>1228</v>
      </c>
      <c r="N17" s="2" t="s">
        <v>243</v>
      </c>
    </row>
  </sheetData>
  <autoFilter ref="A1:N1"/>
  <headerFooter/>
  <legacyDrawing r:id="rId1"/>
</worksheet>
</file>

<file path=xl/worksheets/sheet3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R25"/>
  <sheetViews>
    <sheetView workbookViewId="0">
      <pane ySplit="1" topLeftCell="A2" state="frozen" activePane="bottomLeft"/>
      <selection pane="bottomLeft" activeCell="A1" sqref="A1"/>
    </sheetView>
  </sheetViews>
  <sheetFormatPr defaultRowHeight="15"/>
  <cols>
    <col min="1" max="1" width="25.429248809814453" customWidth="1"/>
    <col min="2" max="2" width="17.74428367614746" customWidth="1"/>
    <col min="3" max="3" width="19.06963539123535" customWidth="1"/>
    <col min="4" max="4" width="39.59526443481445" customWidth="1"/>
    <col min="5" max="5" width="239.29989624023438" customWidth="1"/>
    <col min="6" max="6" width="17.443378448486328" customWidth="1"/>
    <col min="7" max="7" width="18.885517120361328" customWidth="1"/>
    <col min="8" max="8" width="30.47383689880371" customWidth="1"/>
    <col min="9" max="9" width="17.443378448486328" customWidth="1"/>
    <col min="10" max="10" width="38.78940200805664" customWidth="1"/>
    <col min="11" max="11" width="21.954919815063477" customWidth="1"/>
    <col min="12" max="12" width="26.754587173461914" customWidth="1"/>
    <col min="13" max="13" width="17.443378448486328" customWidth="1"/>
    <col min="14" max="14" width="17.443378448486328" customWidth="1"/>
    <col min="15" max="15" width="17.443378448486328" customWidth="1"/>
    <col min="16" max="16" width="17.443378448486328" customWidth="1"/>
    <col min="17" max="17" width="20.461111068725586" customWidth="1"/>
    <col min="18" max="18" width="23.79555320739746" customWidth="1"/>
    <col min="19" max="19" width="17.9216251373291" customWidth="1"/>
    <col min="20" max="20" width="17.443378448486328" customWidth="1"/>
    <col min="21" max="21" width="17.443378448486328" customWidth="1"/>
    <col min="22" max="22" width="17.611040115356445" customWidth="1"/>
    <col min="23" max="23" width="17.443378448486328" customWidth="1"/>
    <col min="24" max="24" width="24.46819496154785" customWidth="1"/>
    <col min="25" max="25" width="23.2612361907959" customWidth="1"/>
    <col min="26" max="26" width="25.08344841003418" customWidth="1"/>
    <col min="27" max="27" width="24.343761444091797" customWidth="1"/>
    <col min="28" max="28" width="27.6582088470459" customWidth="1"/>
    <col min="29" max="29" width="26.49542236328125" customWidth="1"/>
    <col min="30" max="30" width="28.250715255737305" customWidth="1"/>
    <col min="31" max="31" width="27.53835678100586" customWidth="1"/>
    <col min="32" max="32" width="22.03537368774414" customWidth="1"/>
    <col min="33" max="33" width="20.795795440673828" customWidth="1"/>
    <col min="34" max="34" width="22.66742515563965" customWidth="1"/>
    <col min="35" max="35" width="21.907556533813477" customWidth="1"/>
    <col min="36" max="36" width="17.443378448486328" customWidth="1"/>
    <col min="37" max="37" width="39.59526443481445" customWidth="1"/>
    <col min="38" max="38" width="30.34937858581543" customWidth="1"/>
    <col min="39" max="39" width="39.904151916503906" customWidth="1"/>
    <col min="40" max="40" width="17.443378448486328" customWidth="1"/>
    <col min="41" max="41" width="17.443378448486328" customWidth="1"/>
    <col min="42" max="42" width="17.443378448486328" customWidth="1"/>
    <col min="43" max="43" width="17.443378448486328" customWidth="1"/>
    <col min="44" max="44" width="17.443378448486328" customWidth="1"/>
  </cols>
  <sheetData>
    <row r="1">
      <c r="A1" s="1" t="s">
        <v>1233</v>
      </c>
      <c r="B1" s="1" t="s">
        <v>3</v>
      </c>
      <c r="C1" s="1" t="s">
        <v>1234</v>
      </c>
      <c r="D1" s="1" t="s">
        <v>1235</v>
      </c>
      <c r="E1" s="1" t="s">
        <v>845</v>
      </c>
      <c r="F1" s="1" t="s">
        <v>21</v>
      </c>
      <c r="G1" s="1" t="s">
        <v>1236</v>
      </c>
      <c r="H1" s="1" t="s">
        <v>1237</v>
      </c>
      <c r="I1" s="1" t="s">
        <v>1238</v>
      </c>
      <c r="J1" s="1" t="s">
        <v>1239</v>
      </c>
      <c r="K1" s="1" t="s">
        <v>1240</v>
      </c>
      <c r="L1" s="1" t="s">
        <v>1241</v>
      </c>
      <c r="M1" s="1" t="s">
        <v>1242</v>
      </c>
      <c r="N1" s="1" t="s">
        <v>1243</v>
      </c>
      <c r="O1" s="1" t="s">
        <v>1244</v>
      </c>
      <c r="P1" s="1" t="s">
        <v>1245</v>
      </c>
      <c r="Q1" s="1" t="s">
        <v>1246</v>
      </c>
      <c r="R1" s="1" t="s">
        <v>1247</v>
      </c>
      <c r="S1" s="1" t="s">
        <v>1248</v>
      </c>
      <c r="T1" s="1" t="s">
        <v>1249</v>
      </c>
      <c r="U1" s="1" t="s">
        <v>1250</v>
      </c>
      <c r="V1" s="1" t="s">
        <v>1251</v>
      </c>
      <c r="W1" s="1" t="s">
        <v>1252</v>
      </c>
      <c r="X1" s="1" t="s">
        <v>1253</v>
      </c>
      <c r="Y1" s="1" t="s">
        <v>1254</v>
      </c>
      <c r="Z1" s="1" t="s">
        <v>1255</v>
      </c>
      <c r="AA1" s="1" t="s">
        <v>1256</v>
      </c>
      <c r="AB1" s="1" t="s">
        <v>1257</v>
      </c>
      <c r="AC1" s="1" t="s">
        <v>1258</v>
      </c>
      <c r="AD1" s="1" t="s">
        <v>1259</v>
      </c>
      <c r="AE1" s="1" t="s">
        <v>1260</v>
      </c>
      <c r="AF1" s="1" t="s">
        <v>1261</v>
      </c>
      <c r="AG1" s="1" t="s">
        <v>1262</v>
      </c>
      <c r="AH1" s="1" t="s">
        <v>1263</v>
      </c>
      <c r="AI1" s="1" t="s">
        <v>1264</v>
      </c>
      <c r="AJ1" s="1" t="s">
        <v>1265</v>
      </c>
      <c r="AK1" s="1" t="s">
        <v>1266</v>
      </c>
      <c r="AL1" s="1" t="s">
        <v>1267</v>
      </c>
      <c r="AM1" s="1" t="s">
        <v>4</v>
      </c>
      <c r="AN1" s="1" t="s">
        <v>1268</v>
      </c>
      <c r="AO1" s="1" t="s">
        <v>1269</v>
      </c>
      <c r="AP1" s="1" t="s">
        <v>1270</v>
      </c>
      <c r="AQ1" s="1" t="s">
        <v>1271</v>
      </c>
      <c r="AR1" s="1" t="s">
        <v>1272</v>
      </c>
    </row>
    <row r="2">
      <c r="A2" s="2" t="s">
        <v>1273</v>
      </c>
      <c r="B2" s="3" t="str">
        <f>SUBSTITUTE(LOWER(C2), " ", "-")</f>
        <v>intake</v>
      </c>
      <c r="C2" s="2" t="s">
        <v>1274</v>
      </c>
      <c r="D2" s="2" t="s">
        <v>1275</v>
      </c>
      <c r="E2" s="2" t="s">
        <v>1276</v>
      </c>
      <c r="F2" s="2">
        <v>10</v>
      </c>
      <c r="G2" s="2" t="s">
        <v>243</v>
      </c>
      <c r="H2" s="2" t="s">
        <v>1277</v>
      </c>
      <c r="I2" s="2" t="s">
        <v>1278</v>
      </c>
      <c r="J2" s="2" t="s">
        <v>1279</v>
      </c>
      <c r="K2" s="2" t="s">
        <v>73</v>
      </c>
      <c r="L2" s="2" t="s">
        <v>1280</v>
      </c>
      <c r="M2" s="2" t="s">
        <v>1281</v>
      </c>
      <c r="N2" s="2" t="b">
        <v>0</v>
      </c>
      <c r="O2" s="2" t="b">
        <v>1</v>
      </c>
      <c r="P2" s="2" t="s">
        <v>1282</v>
      </c>
      <c r="Q2" s="2" t="s">
        <v>1283</v>
      </c>
      <c r="R2" s="2" t="s">
        <v>243</v>
      </c>
      <c r="S2" s="2" t="s">
        <v>243</v>
      </c>
      <c r="T2" s="3" t="e">
        <f>IF(P2=BLANK(),BLANK(),NOT(ISERROR(FIND("C",P2))))</f>
        <v>#NAME?</v>
      </c>
      <c r="U2" s="3" t="e">
        <f>IF(P2=BLANK(),BLANK(),NOT(ISERROR(FIND("R",P2))))</f>
        <v>#NAME?</v>
      </c>
      <c r="V2" s="3" t="e">
        <f>IF(P2=BLANK(),BLANK(),NOT(ISERROR(FIND("U",P2))))</f>
        <v>#NAME?</v>
      </c>
      <c r="W2" s="3" t="e">
        <f>IF(P2=BLANK(),BLANK(),NOT(ISERROR(FIND("D",P2))))</f>
        <v>#NAME?</v>
      </c>
      <c r="X2" s="3" t="e">
        <f>IF(Q2=BLANK(),BLANK(),NOT(ISERROR(FIND("C",Q2))))</f>
        <v>#NAME?</v>
      </c>
      <c r="Y2" s="3" t="e">
        <f>IF(Q2=BLANK(),BLANK(),NOT(ISERROR(FIND("R",Q2))))</f>
        <v>#NAME?</v>
      </c>
      <c r="Z2" s="3" t="e">
        <f>IF(Q2=BLANK(),BLANK(),NOT(ISERROR(FIND("U",Q2))))</f>
        <v>#NAME?</v>
      </c>
      <c r="AA2" s="3" t="e">
        <f>IF(Q2=BLANK(),BLANK(),NOT(ISERROR(FIND("D",Q2))))</f>
        <v>#NAME?</v>
      </c>
      <c r="AB2" s="3" t="e">
        <f>IF(R2=BLANK(),BLANK(),NOT(ISERROR(FIND("C",R2))))</f>
        <v>#NAME?</v>
      </c>
      <c r="AC2" s="3" t="e">
        <f>IF(R2=BLANK(),BLANK(),NOT(ISERROR(FIND("R",R2))))</f>
        <v>#NAME?</v>
      </c>
      <c r="AD2" s="3" t="e">
        <f>IF(R2=BLANK(),BLANK(),NOT(ISERROR(FIND("U",R2))))</f>
        <v>#NAME?</v>
      </c>
      <c r="AE2" s="3" t="e">
        <f>IF(R2=BLANK(),BLANK(),NOT(ISERROR(FIND("D",R2))))</f>
        <v>#NAME?</v>
      </c>
      <c r="AF2" s="3" t="e">
        <f>IF(S2=BLANK(),BLANK(),NOT(ISERROR(FIND("C",S2))))</f>
        <v>#NAME?</v>
      </c>
      <c r="AG2" s="3" t="e">
        <f>IF(S2=BLANK(),BLANK(),NOT(ISERROR(FIND("R",S2))))</f>
        <v>#NAME?</v>
      </c>
      <c r="AH2" s="3" t="e">
        <f>IF(S2=BLANK(),BLANK(),NOT(ISERROR(FIND("U",S2))))</f>
        <v>#NAME?</v>
      </c>
      <c r="AI2" s="3" t="e">
        <f>IF(S2=BLANK(),BLANK(),NOT(ISERROR(FIND("D",S2))))</f>
        <v>#NAME?</v>
      </c>
      <c r="AJ2" s="4" t="e">
        <f>IF(G2=BLANK(), 0, LEN(H2) - LEN(SUBSTITUTE(H2, ".", "")))</f>
        <v>#NAME?</v>
      </c>
      <c r="AK2" s="3" t="str">
        <f>D2</f>
        <v>/intake</v>
      </c>
      <c r="AL2" s="3" t="str">
        <f>SUBSTITUTE(SUBSTITUTE(H2, ".", " "), "-", " ")</f>
        <v>intake</v>
      </c>
      <c r="AM2" s="3" t="str">
        <f>"/admin/routing/" &amp; A2</f>
        <v>/admin/routing/nav-intake</v>
      </c>
      <c r="AN2" s="6"/>
      <c r="AO2" s="2" t="s">
        <v>1284</v>
      </c>
      <c r="AP2" s="6"/>
      <c r="AQ2" s="2" t="s">
        <v>1284</v>
      </c>
      <c r="AR2" s="2"/>
    </row>
    <row r="3">
      <c r="A3" s="2" t="s">
        <v>1285</v>
      </c>
      <c r="B3" s="3" t="str">
        <f>SUBSTITUTE(LOWER(C3), " ", "-")</f>
        <v>new-patient</v>
      </c>
      <c r="C3" s="2" t="s">
        <v>1286</v>
      </c>
      <c r="D3" s="2" t="s">
        <v>1287</v>
      </c>
      <c r="E3" s="2" t="s">
        <v>1288</v>
      </c>
      <c r="F3" s="2">
        <v>11</v>
      </c>
      <c r="G3" s="2" t="s">
        <v>1277</v>
      </c>
      <c r="H3" s="2" t="s">
        <v>1289</v>
      </c>
      <c r="I3" s="2" t="s">
        <v>1290</v>
      </c>
      <c r="J3" s="2" t="s">
        <v>1279</v>
      </c>
      <c r="K3" s="2" t="s">
        <v>73</v>
      </c>
      <c r="L3" s="2" t="s">
        <v>1280</v>
      </c>
      <c r="M3" s="2" t="s">
        <v>1291</v>
      </c>
      <c r="N3" s="2" t="b">
        <v>1</v>
      </c>
      <c r="O3" s="2" t="b">
        <v>0</v>
      </c>
      <c r="P3" s="2" t="s">
        <v>1282</v>
      </c>
      <c r="Q3" s="2" t="s">
        <v>1283</v>
      </c>
      <c r="R3" s="2" t="s">
        <v>243</v>
      </c>
      <c r="S3" s="2" t="s">
        <v>243</v>
      </c>
      <c r="T3" s="3" t="e">
        <f>IF(P3=BLANK(),BLANK(),NOT(ISERROR(FIND("C",P3))))</f>
        <v>#NAME?</v>
      </c>
      <c r="U3" s="3" t="e">
        <f>IF(P3=BLANK(),BLANK(),NOT(ISERROR(FIND("R",P3))))</f>
        <v>#NAME?</v>
      </c>
      <c r="V3" s="3" t="e">
        <f>IF(P3=BLANK(),BLANK(),NOT(ISERROR(FIND("U",P3))))</f>
        <v>#NAME?</v>
      </c>
      <c r="W3" s="3" t="e">
        <f>IF(P3=BLANK(),BLANK(),NOT(ISERROR(FIND("D",P3))))</f>
        <v>#NAME?</v>
      </c>
      <c r="X3" s="3" t="e">
        <f>IF(Q3=BLANK(),BLANK(),NOT(ISERROR(FIND("C",Q3))))</f>
        <v>#NAME?</v>
      </c>
      <c r="Y3" s="3" t="e">
        <f>IF(Q3=BLANK(),BLANK(),NOT(ISERROR(FIND("R",Q3))))</f>
        <v>#NAME?</v>
      </c>
      <c r="Z3" s="3" t="e">
        <f>IF(Q3=BLANK(),BLANK(),NOT(ISERROR(FIND("U",Q3))))</f>
        <v>#NAME?</v>
      </c>
      <c r="AA3" s="3" t="e">
        <f>IF(Q3=BLANK(),BLANK(),NOT(ISERROR(FIND("D",Q3))))</f>
        <v>#NAME?</v>
      </c>
      <c r="AB3" s="3" t="e">
        <f>IF(R3=BLANK(),BLANK(),NOT(ISERROR(FIND("C",R3))))</f>
        <v>#NAME?</v>
      </c>
      <c r="AC3" s="3" t="e">
        <f>IF(R3=BLANK(),BLANK(),NOT(ISERROR(FIND("R",R3))))</f>
        <v>#NAME?</v>
      </c>
      <c r="AD3" s="3" t="e">
        <f>IF(R3=BLANK(),BLANK(),NOT(ISERROR(FIND("U",R3))))</f>
        <v>#NAME?</v>
      </c>
      <c r="AE3" s="3" t="e">
        <f>IF(R3=BLANK(),BLANK(),NOT(ISERROR(FIND("D",R3))))</f>
        <v>#NAME?</v>
      </c>
      <c r="AF3" s="3" t="e">
        <f>IF(S3=BLANK(),BLANK(),NOT(ISERROR(FIND("C",S3))))</f>
        <v>#NAME?</v>
      </c>
      <c r="AG3" s="3" t="e">
        <f>IF(S3=BLANK(),BLANK(),NOT(ISERROR(FIND("R",S3))))</f>
        <v>#NAME?</v>
      </c>
      <c r="AH3" s="3" t="e">
        <f>IF(S3=BLANK(),BLANK(),NOT(ISERROR(FIND("U",S3))))</f>
        <v>#NAME?</v>
      </c>
      <c r="AI3" s="3" t="e">
        <f>IF(S3=BLANK(),BLANK(),NOT(ISERROR(FIND("D",S3))))</f>
        <v>#NAME?</v>
      </c>
      <c r="AJ3" s="4" t="e">
        <f>IF(G3=BLANK(), 0, LEN(H3) - LEN(SUBSTITUTE(H3, ".", "")))</f>
        <v>#NAME?</v>
      </c>
      <c r="AK3" s="3" t="str">
        <f>D3</f>
        <v>/intake/new-patient/:caseId</v>
      </c>
      <c r="AL3" s="3" t="str">
        <f>SUBSTITUTE(SUBSTITUTE(H3, ".", " "), "-", " ")</f>
        <v>intake new patient</v>
      </c>
      <c r="AM3" s="3" t="str">
        <f>"/admin/routing/" &amp; A3</f>
        <v>/admin/routing/nav-intake-new</v>
      </c>
      <c r="AN3" s="6"/>
      <c r="AO3" s="2" t="s">
        <v>1284</v>
      </c>
      <c r="AP3" s="6"/>
      <c r="AQ3" s="2" t="s">
        <v>1284</v>
      </c>
      <c r="AR3" s="2"/>
    </row>
    <row r="4">
      <c r="A4" s="2" t="s">
        <v>1292</v>
      </c>
      <c r="B4" s="3" t="str">
        <f>SUBSTITUTE(LOWER(C4), " ", "-")</f>
        <v>observations</v>
      </c>
      <c r="C4" s="2" t="s">
        <v>1293</v>
      </c>
      <c r="D4" s="2" t="s">
        <v>1294</v>
      </c>
      <c r="E4" s="2" t="s">
        <v>1295</v>
      </c>
      <c r="F4" s="2">
        <v>12</v>
      </c>
      <c r="G4" s="2" t="s">
        <v>1289</v>
      </c>
      <c r="H4" s="2" t="s">
        <v>1296</v>
      </c>
      <c r="I4" s="2" t="s">
        <v>1297</v>
      </c>
      <c r="J4" s="2" t="s">
        <v>1279</v>
      </c>
      <c r="K4" s="2" t="s">
        <v>73</v>
      </c>
      <c r="L4" s="2" t="s">
        <v>1280</v>
      </c>
      <c r="M4" s="2" t="s">
        <v>1298</v>
      </c>
      <c r="N4" s="2" t="b">
        <v>1</v>
      </c>
      <c r="O4" s="2" t="b">
        <v>0</v>
      </c>
      <c r="P4" s="2" t="s">
        <v>1282</v>
      </c>
      <c r="Q4" s="2" t="s">
        <v>1283</v>
      </c>
      <c r="R4" s="2" t="s">
        <v>243</v>
      </c>
      <c r="S4" s="2" t="s">
        <v>243</v>
      </c>
      <c r="T4" s="3" t="e">
        <f>IF(P4=BLANK(),BLANK(),NOT(ISERROR(FIND("C",P4))))</f>
        <v>#NAME?</v>
      </c>
      <c r="U4" s="3" t="e">
        <f>IF(P4=BLANK(),BLANK(),NOT(ISERROR(FIND("R",P4))))</f>
        <v>#NAME?</v>
      </c>
      <c r="V4" s="3" t="e">
        <f>IF(P4=BLANK(),BLANK(),NOT(ISERROR(FIND("U",P4))))</f>
        <v>#NAME?</v>
      </c>
      <c r="W4" s="3" t="e">
        <f>IF(P4=BLANK(),BLANK(),NOT(ISERROR(FIND("D",P4))))</f>
        <v>#NAME?</v>
      </c>
      <c r="X4" s="3" t="e">
        <f>IF(Q4=BLANK(),BLANK(),NOT(ISERROR(FIND("C",Q4))))</f>
        <v>#NAME?</v>
      </c>
      <c r="Y4" s="3" t="e">
        <f>IF(Q4=BLANK(),BLANK(),NOT(ISERROR(FIND("R",Q4))))</f>
        <v>#NAME?</v>
      </c>
      <c r="Z4" s="3" t="e">
        <f>IF(Q4=BLANK(),BLANK(),NOT(ISERROR(FIND("U",Q4))))</f>
        <v>#NAME?</v>
      </c>
      <c r="AA4" s="3" t="e">
        <f>IF(Q4=BLANK(),BLANK(),NOT(ISERROR(FIND("D",Q4))))</f>
        <v>#NAME?</v>
      </c>
      <c r="AB4" s="3" t="e">
        <f>IF(R4=BLANK(),BLANK(),NOT(ISERROR(FIND("C",R4))))</f>
        <v>#NAME?</v>
      </c>
      <c r="AC4" s="3" t="e">
        <f>IF(R4=BLANK(),BLANK(),NOT(ISERROR(FIND("R",R4))))</f>
        <v>#NAME?</v>
      </c>
      <c r="AD4" s="3" t="e">
        <f>IF(R4=BLANK(),BLANK(),NOT(ISERROR(FIND("U",R4))))</f>
        <v>#NAME?</v>
      </c>
      <c r="AE4" s="3" t="e">
        <f>IF(R4=BLANK(),BLANK(),NOT(ISERROR(FIND("D",R4))))</f>
        <v>#NAME?</v>
      </c>
      <c r="AF4" s="3" t="e">
        <f>IF(S4=BLANK(),BLANK(),NOT(ISERROR(FIND("C",S4))))</f>
        <v>#NAME?</v>
      </c>
      <c r="AG4" s="3" t="e">
        <f>IF(S4=BLANK(),BLANK(),NOT(ISERROR(FIND("R",S4))))</f>
        <v>#NAME?</v>
      </c>
      <c r="AH4" s="3" t="e">
        <f>IF(S4=BLANK(),BLANK(),NOT(ISERROR(FIND("U",S4))))</f>
        <v>#NAME?</v>
      </c>
      <c r="AI4" s="3" t="e">
        <f>IF(S4=BLANK(),BLANK(),NOT(ISERROR(FIND("D",S4))))</f>
        <v>#NAME?</v>
      </c>
      <c r="AJ4" s="4" t="e">
        <f>IF(G4=BLANK(), 0, LEN(H4) - LEN(SUBSTITUTE(H4, ".", "")))</f>
        <v>#NAME?</v>
      </c>
      <c r="AK4" s="3" t="str">
        <f>D4</f>
        <v>/intake/new-patient/:caseId/observations</v>
      </c>
      <c r="AL4" s="3" t="str">
        <f>SUBSTITUTE(SUBSTITUTE(H4, ".", " "), "-", " ")</f>
        <v>intake new patient observations</v>
      </c>
      <c r="AM4" s="3" t="str">
        <f>"/admin/routing/" &amp; A4</f>
        <v>/admin/routing/nav-intake-observations</v>
      </c>
      <c r="AN4" s="6"/>
      <c r="AO4" s="2" t="s">
        <v>1284</v>
      </c>
      <c r="AP4" s="6"/>
      <c r="AQ4" s="2" t="s">
        <v>1284</v>
      </c>
      <c r="AR4" s="2"/>
    </row>
    <row r="5">
      <c r="A5" s="2" t="s">
        <v>1299</v>
      </c>
      <c r="B5" s="3" t="str">
        <f>SUBSTITUTE(LOWER(C5), " ", "-")</f>
        <v>variants</v>
      </c>
      <c r="C5" s="2" t="s">
        <v>1300</v>
      </c>
      <c r="D5" s="2" t="s">
        <v>1301</v>
      </c>
      <c r="E5" s="2" t="s">
        <v>1302</v>
      </c>
      <c r="F5" s="2">
        <v>13</v>
      </c>
      <c r="G5" s="2" t="s">
        <v>1289</v>
      </c>
      <c r="H5" s="2" t="s">
        <v>1303</v>
      </c>
      <c r="I5" s="2" t="s">
        <v>1297</v>
      </c>
      <c r="J5" s="2" t="s">
        <v>1279</v>
      </c>
      <c r="K5" s="2" t="s">
        <v>91</v>
      </c>
      <c r="L5" s="2" t="s">
        <v>1304</v>
      </c>
      <c r="M5" s="2" t="s">
        <v>1305</v>
      </c>
      <c r="N5" s="2" t="b">
        <v>1</v>
      </c>
      <c r="O5" s="2" t="b">
        <v>0</v>
      </c>
      <c r="P5" s="2" t="s">
        <v>1282</v>
      </c>
      <c r="Q5" s="2" t="s">
        <v>1283</v>
      </c>
      <c r="R5" s="2" t="s">
        <v>243</v>
      </c>
      <c r="S5" s="2" t="s">
        <v>243</v>
      </c>
      <c r="T5" s="3" t="e">
        <f>IF(P5=BLANK(),BLANK(),NOT(ISERROR(FIND("C",P5))))</f>
        <v>#NAME?</v>
      </c>
      <c r="U5" s="3" t="e">
        <f>IF(P5=BLANK(),BLANK(),NOT(ISERROR(FIND("R",P5))))</f>
        <v>#NAME?</v>
      </c>
      <c r="V5" s="3" t="e">
        <f>IF(P5=BLANK(),BLANK(),NOT(ISERROR(FIND("U",P5))))</f>
        <v>#NAME?</v>
      </c>
      <c r="W5" s="3" t="e">
        <f>IF(P5=BLANK(),BLANK(),NOT(ISERROR(FIND("D",P5))))</f>
        <v>#NAME?</v>
      </c>
      <c r="X5" s="3" t="e">
        <f>IF(Q5=BLANK(),BLANK(),NOT(ISERROR(FIND("C",Q5))))</f>
        <v>#NAME?</v>
      </c>
      <c r="Y5" s="3" t="e">
        <f>IF(Q5=BLANK(),BLANK(),NOT(ISERROR(FIND("R",Q5))))</f>
        <v>#NAME?</v>
      </c>
      <c r="Z5" s="3" t="e">
        <f>IF(Q5=BLANK(),BLANK(),NOT(ISERROR(FIND("U",Q5))))</f>
        <v>#NAME?</v>
      </c>
      <c r="AA5" s="3" t="e">
        <f>IF(Q5=BLANK(),BLANK(),NOT(ISERROR(FIND("D",Q5))))</f>
        <v>#NAME?</v>
      </c>
      <c r="AB5" s="3" t="e">
        <f>IF(R5=BLANK(),BLANK(),NOT(ISERROR(FIND("C",R5))))</f>
        <v>#NAME?</v>
      </c>
      <c r="AC5" s="3" t="e">
        <f>IF(R5=BLANK(),BLANK(),NOT(ISERROR(FIND("R",R5))))</f>
        <v>#NAME?</v>
      </c>
      <c r="AD5" s="3" t="e">
        <f>IF(R5=BLANK(),BLANK(),NOT(ISERROR(FIND("U",R5))))</f>
        <v>#NAME?</v>
      </c>
      <c r="AE5" s="3" t="e">
        <f>IF(R5=BLANK(),BLANK(),NOT(ISERROR(FIND("D",R5))))</f>
        <v>#NAME?</v>
      </c>
      <c r="AF5" s="3" t="e">
        <f>IF(S5=BLANK(),BLANK(),NOT(ISERROR(FIND("C",S5))))</f>
        <v>#NAME?</v>
      </c>
      <c r="AG5" s="3" t="e">
        <f>IF(S5=BLANK(),BLANK(),NOT(ISERROR(FIND("R",S5))))</f>
        <v>#NAME?</v>
      </c>
      <c r="AH5" s="3" t="e">
        <f>IF(S5=BLANK(),BLANK(),NOT(ISERROR(FIND("U",S5))))</f>
        <v>#NAME?</v>
      </c>
      <c r="AI5" s="3" t="e">
        <f>IF(S5=BLANK(),BLANK(),NOT(ISERROR(FIND("D",S5))))</f>
        <v>#NAME?</v>
      </c>
      <c r="AJ5" s="4" t="e">
        <f>IF(G5=BLANK(), 0, LEN(H5) - LEN(SUBSTITUTE(H5, ".", "")))</f>
        <v>#NAME?</v>
      </c>
      <c r="AK5" s="3" t="str">
        <f>D5</f>
        <v>/intake/new-patient/:caseId/variants</v>
      </c>
      <c r="AL5" s="3" t="str">
        <f>SUBSTITUTE(SUBSTITUTE(H5, ".", " "), "-", " ")</f>
        <v>intake new patient variants</v>
      </c>
      <c r="AM5" s="3" t="str">
        <f>"/admin/routing/" &amp; A5</f>
        <v>/admin/routing/nav-intake-variants</v>
      </c>
      <c r="AN5" s="6"/>
      <c r="AO5" s="2" t="s">
        <v>1284</v>
      </c>
      <c r="AP5" s="6"/>
      <c r="AQ5" s="2" t="s">
        <v>1284</v>
      </c>
      <c r="AR5" s="2"/>
    </row>
    <row r="6">
      <c r="A6" s="2" t="s">
        <v>1306</v>
      </c>
      <c r="B6" s="3" t="str">
        <f>SUBSTITUTE(LOWER(C6), " ", "-")</f>
        <v>assays</v>
      </c>
      <c r="C6" s="2" t="s">
        <v>1307</v>
      </c>
      <c r="D6" s="2" t="s">
        <v>1308</v>
      </c>
      <c r="E6" s="2" t="s">
        <v>1309</v>
      </c>
      <c r="F6" s="2">
        <v>14</v>
      </c>
      <c r="G6" s="2" t="s">
        <v>1289</v>
      </c>
      <c r="H6" s="2" t="s">
        <v>1310</v>
      </c>
      <c r="I6" s="2" t="s">
        <v>1297</v>
      </c>
      <c r="J6" s="2" t="s">
        <v>1279</v>
      </c>
      <c r="K6" s="2" t="s">
        <v>38</v>
      </c>
      <c r="L6" s="2" t="s">
        <v>1311</v>
      </c>
      <c r="M6" s="2" t="s">
        <v>1312</v>
      </c>
      <c r="N6" s="2" t="b">
        <v>1</v>
      </c>
      <c r="O6" s="2" t="b">
        <v>0</v>
      </c>
      <c r="P6" s="2" t="s">
        <v>1282</v>
      </c>
      <c r="Q6" s="2" t="s">
        <v>1283</v>
      </c>
      <c r="R6" s="2" t="s">
        <v>243</v>
      </c>
      <c r="S6" s="2" t="s">
        <v>243</v>
      </c>
      <c r="T6" s="3" t="e">
        <f>IF(P6=BLANK(),BLANK(),NOT(ISERROR(FIND("C",P6))))</f>
        <v>#NAME?</v>
      </c>
      <c r="U6" s="3" t="e">
        <f>IF(P6=BLANK(),BLANK(),NOT(ISERROR(FIND("R",P6))))</f>
        <v>#NAME?</v>
      </c>
      <c r="V6" s="3" t="e">
        <f>IF(P6=BLANK(),BLANK(),NOT(ISERROR(FIND("U",P6))))</f>
        <v>#NAME?</v>
      </c>
      <c r="W6" s="3" t="e">
        <f>IF(P6=BLANK(),BLANK(),NOT(ISERROR(FIND("D",P6))))</f>
        <v>#NAME?</v>
      </c>
      <c r="X6" s="3" t="e">
        <f>IF(Q6=BLANK(),BLANK(),NOT(ISERROR(FIND("C",Q6))))</f>
        <v>#NAME?</v>
      </c>
      <c r="Y6" s="3" t="e">
        <f>IF(Q6=BLANK(),BLANK(),NOT(ISERROR(FIND("R",Q6))))</f>
        <v>#NAME?</v>
      </c>
      <c r="Z6" s="3" t="e">
        <f>IF(Q6=BLANK(),BLANK(),NOT(ISERROR(FIND("U",Q6))))</f>
        <v>#NAME?</v>
      </c>
      <c r="AA6" s="3" t="e">
        <f>IF(Q6=BLANK(),BLANK(),NOT(ISERROR(FIND("D",Q6))))</f>
        <v>#NAME?</v>
      </c>
      <c r="AB6" s="3" t="e">
        <f>IF(R6=BLANK(),BLANK(),NOT(ISERROR(FIND("C",R6))))</f>
        <v>#NAME?</v>
      </c>
      <c r="AC6" s="3" t="e">
        <f>IF(R6=BLANK(),BLANK(),NOT(ISERROR(FIND("R",R6))))</f>
        <v>#NAME?</v>
      </c>
      <c r="AD6" s="3" t="e">
        <f>IF(R6=BLANK(),BLANK(),NOT(ISERROR(FIND("U",R6))))</f>
        <v>#NAME?</v>
      </c>
      <c r="AE6" s="3" t="e">
        <f>IF(R6=BLANK(),BLANK(),NOT(ISERROR(FIND("D",R6))))</f>
        <v>#NAME?</v>
      </c>
      <c r="AF6" s="3" t="e">
        <f>IF(S6=BLANK(),BLANK(),NOT(ISERROR(FIND("C",S6))))</f>
        <v>#NAME?</v>
      </c>
      <c r="AG6" s="3" t="e">
        <f>IF(S6=BLANK(),BLANK(),NOT(ISERROR(FIND("R",S6))))</f>
        <v>#NAME?</v>
      </c>
      <c r="AH6" s="3" t="e">
        <f>IF(S6=BLANK(),BLANK(),NOT(ISERROR(FIND("U",S6))))</f>
        <v>#NAME?</v>
      </c>
      <c r="AI6" s="3" t="e">
        <f>IF(S6=BLANK(),BLANK(),NOT(ISERROR(FIND("D",S6))))</f>
        <v>#NAME?</v>
      </c>
      <c r="AJ6" s="4" t="e">
        <f>IF(G6=BLANK(), 0, LEN(H6) - LEN(SUBSTITUTE(H6, ".", "")))</f>
        <v>#NAME?</v>
      </c>
      <c r="AK6" s="3" t="str">
        <f>D6</f>
        <v>/intake/new-patient/:caseId/assays</v>
      </c>
      <c r="AL6" s="3" t="str">
        <f>SUBSTITUTE(SUBSTITUTE(H6, ".", " "), "-", " ")</f>
        <v>intake new patient assays</v>
      </c>
      <c r="AM6" s="3" t="str">
        <f>"/admin/routing/" &amp; A6</f>
        <v>/admin/routing/nav-intake-assays</v>
      </c>
      <c r="AN6" s="6"/>
      <c r="AO6" s="2" t="s">
        <v>1284</v>
      </c>
      <c r="AP6" s="6"/>
      <c r="AQ6" s="2" t="s">
        <v>1284</v>
      </c>
      <c r="AR6" s="2"/>
    </row>
    <row r="7">
      <c r="A7" s="2" t="s">
        <v>1313</v>
      </c>
      <c r="B7" s="3" t="str">
        <f>SUBSTITUTE(LOWER(C7), " ", "-")</f>
        <v>submit-case</v>
      </c>
      <c r="C7" s="2" t="s">
        <v>1314</v>
      </c>
      <c r="D7" s="2" t="s">
        <v>1315</v>
      </c>
      <c r="E7" s="2" t="s">
        <v>1316</v>
      </c>
      <c r="F7" s="2">
        <v>15</v>
      </c>
      <c r="G7" s="2" t="s">
        <v>1289</v>
      </c>
      <c r="H7" s="2" t="s">
        <v>1317</v>
      </c>
      <c r="I7" s="2" t="s">
        <v>1297</v>
      </c>
      <c r="J7" s="2" t="s">
        <v>1279</v>
      </c>
      <c r="K7" s="2"/>
      <c r="L7" s="2"/>
      <c r="M7" s="2" t="s">
        <v>1318</v>
      </c>
      <c r="N7" s="2" t="b">
        <v>1</v>
      </c>
      <c r="O7" s="2" t="b">
        <v>0</v>
      </c>
      <c r="P7" s="2" t="s">
        <v>1282</v>
      </c>
      <c r="Q7" s="2" t="s">
        <v>1319</v>
      </c>
      <c r="R7" s="2" t="s">
        <v>243</v>
      </c>
      <c r="S7" s="2" t="s">
        <v>243</v>
      </c>
      <c r="T7" s="3" t="e">
        <f>IF(P7=BLANK(),BLANK(),NOT(ISERROR(FIND("C",P7))))</f>
        <v>#NAME?</v>
      </c>
      <c r="U7" s="3" t="e">
        <f>IF(P7=BLANK(),BLANK(),NOT(ISERROR(FIND("R",P7))))</f>
        <v>#NAME?</v>
      </c>
      <c r="V7" s="3" t="e">
        <f>IF(P7=BLANK(),BLANK(),NOT(ISERROR(FIND("U",P7))))</f>
        <v>#NAME?</v>
      </c>
      <c r="W7" s="3" t="e">
        <f>IF(P7=BLANK(),BLANK(),NOT(ISERROR(FIND("D",P7))))</f>
        <v>#NAME?</v>
      </c>
      <c r="X7" s="3" t="e">
        <f>IF(Q7=BLANK(),BLANK(),NOT(ISERROR(FIND("C",Q7))))</f>
        <v>#NAME?</v>
      </c>
      <c r="Y7" s="3" t="e">
        <f>IF(Q7=BLANK(),BLANK(),NOT(ISERROR(FIND("R",Q7))))</f>
        <v>#NAME?</v>
      </c>
      <c r="Z7" s="3" t="e">
        <f>IF(Q7=BLANK(),BLANK(),NOT(ISERROR(FIND("U",Q7))))</f>
        <v>#NAME?</v>
      </c>
      <c r="AA7" s="3" t="e">
        <f>IF(Q7=BLANK(),BLANK(),NOT(ISERROR(FIND("D",Q7))))</f>
        <v>#NAME?</v>
      </c>
      <c r="AB7" s="3" t="e">
        <f>IF(R7=BLANK(),BLANK(),NOT(ISERROR(FIND("C",R7))))</f>
        <v>#NAME?</v>
      </c>
      <c r="AC7" s="3" t="e">
        <f>IF(R7=BLANK(),BLANK(),NOT(ISERROR(FIND("R",R7))))</f>
        <v>#NAME?</v>
      </c>
      <c r="AD7" s="3" t="e">
        <f>IF(R7=BLANK(),BLANK(),NOT(ISERROR(FIND("U",R7))))</f>
        <v>#NAME?</v>
      </c>
      <c r="AE7" s="3" t="e">
        <f>IF(R7=BLANK(),BLANK(),NOT(ISERROR(FIND("D",R7))))</f>
        <v>#NAME?</v>
      </c>
      <c r="AF7" s="3" t="e">
        <f>IF(S7=BLANK(),BLANK(),NOT(ISERROR(FIND("C",S7))))</f>
        <v>#NAME?</v>
      </c>
      <c r="AG7" s="3" t="e">
        <f>IF(S7=BLANK(),BLANK(),NOT(ISERROR(FIND("R",S7))))</f>
        <v>#NAME?</v>
      </c>
      <c r="AH7" s="3" t="e">
        <f>IF(S7=BLANK(),BLANK(),NOT(ISERROR(FIND("U",S7))))</f>
        <v>#NAME?</v>
      </c>
      <c r="AI7" s="3" t="e">
        <f>IF(S7=BLANK(),BLANK(),NOT(ISERROR(FIND("D",S7))))</f>
        <v>#NAME?</v>
      </c>
      <c r="AJ7" s="4" t="e">
        <f>IF(G7=BLANK(), 0, LEN(H7) - LEN(SUBSTITUTE(H7, ".", "")))</f>
        <v>#NAME?</v>
      </c>
      <c r="AK7" s="3" t="str">
        <f>D7</f>
        <v>/intake/new-patient/:caseId/submit</v>
      </c>
      <c r="AL7" s="3" t="str">
        <f>SUBSTITUTE(SUBSTITUTE(H7, ".", " "), "-", " ")</f>
        <v>intake new patient submit</v>
      </c>
      <c r="AM7" s="3" t="str">
        <f>"/admin/routing/" &amp; A7</f>
        <v>/admin/routing/nav-intake-submit</v>
      </c>
      <c r="AN7" s="6"/>
      <c r="AO7" s="2" t="s">
        <v>1284</v>
      </c>
      <c r="AP7" s="6"/>
      <c r="AQ7" s="2" t="s">
        <v>1284</v>
      </c>
      <c r="AR7" s="2"/>
    </row>
    <row r="8">
      <c r="A8" s="2" t="s">
        <v>1320</v>
      </c>
      <c r="B8" s="3" t="str">
        <f>SUBSTITUTE(LOWER(C8), " ", "-")</f>
        <v>diagnosis</v>
      </c>
      <c r="C8" s="2" t="s">
        <v>1321</v>
      </c>
      <c r="D8" s="2" t="s">
        <v>1322</v>
      </c>
      <c r="E8" s="2" t="s">
        <v>1323</v>
      </c>
      <c r="F8" s="2">
        <v>20</v>
      </c>
      <c r="G8" s="2" t="s">
        <v>243</v>
      </c>
      <c r="H8" s="2" t="s">
        <v>1324</v>
      </c>
      <c r="I8" s="2" t="s">
        <v>1278</v>
      </c>
      <c r="J8" s="2" t="s">
        <v>1325</v>
      </c>
      <c r="K8" s="2" t="s">
        <v>10</v>
      </c>
      <c r="L8" s="2" t="s">
        <v>1326</v>
      </c>
      <c r="M8" s="2" t="s">
        <v>1327</v>
      </c>
      <c r="N8" s="2" t="b">
        <v>0</v>
      </c>
      <c r="O8" s="2" t="b">
        <v>1</v>
      </c>
      <c r="P8" s="2" t="s">
        <v>1282</v>
      </c>
      <c r="Q8" s="2" t="s">
        <v>243</v>
      </c>
      <c r="R8" s="2" t="s">
        <v>1328</v>
      </c>
      <c r="S8" s="2" t="s">
        <v>243</v>
      </c>
      <c r="T8" s="3" t="e">
        <f>IF(P8=BLANK(),BLANK(),NOT(ISERROR(FIND("C",P8))))</f>
        <v>#NAME?</v>
      </c>
      <c r="U8" s="3" t="e">
        <f>IF(P8=BLANK(),BLANK(),NOT(ISERROR(FIND("R",P8))))</f>
        <v>#NAME?</v>
      </c>
      <c r="V8" s="3" t="e">
        <f>IF(P8=BLANK(),BLANK(),NOT(ISERROR(FIND("U",P8))))</f>
        <v>#NAME?</v>
      </c>
      <c r="W8" s="3" t="e">
        <f>IF(P8=BLANK(),BLANK(),NOT(ISERROR(FIND("D",P8))))</f>
        <v>#NAME?</v>
      </c>
      <c r="X8" s="3" t="e">
        <f>IF(Q8=BLANK(),BLANK(),NOT(ISERROR(FIND("C",Q8))))</f>
        <v>#NAME?</v>
      </c>
      <c r="Y8" s="3" t="e">
        <f>IF(Q8=BLANK(),BLANK(),NOT(ISERROR(FIND("R",Q8))))</f>
        <v>#NAME?</v>
      </c>
      <c r="Z8" s="3" t="e">
        <f>IF(Q8=BLANK(),BLANK(),NOT(ISERROR(FIND("U",Q8))))</f>
        <v>#NAME?</v>
      </c>
      <c r="AA8" s="3" t="e">
        <f>IF(Q8=BLANK(),BLANK(),NOT(ISERROR(FIND("D",Q8))))</f>
        <v>#NAME?</v>
      </c>
      <c r="AB8" s="3" t="e">
        <f>IF(R8=BLANK(),BLANK(),NOT(ISERROR(FIND("C",R8))))</f>
        <v>#NAME?</v>
      </c>
      <c r="AC8" s="3" t="e">
        <f>IF(R8=BLANK(),BLANK(),NOT(ISERROR(FIND("R",R8))))</f>
        <v>#NAME?</v>
      </c>
      <c r="AD8" s="3" t="e">
        <f>IF(R8=BLANK(),BLANK(),NOT(ISERROR(FIND("U",R8))))</f>
        <v>#NAME?</v>
      </c>
      <c r="AE8" s="3" t="e">
        <f>IF(R8=BLANK(),BLANK(),NOT(ISERROR(FIND("D",R8))))</f>
        <v>#NAME?</v>
      </c>
      <c r="AF8" s="3" t="e">
        <f>IF(S8=BLANK(),BLANK(),NOT(ISERROR(FIND("C",S8))))</f>
        <v>#NAME?</v>
      </c>
      <c r="AG8" s="3" t="e">
        <f>IF(S8=BLANK(),BLANK(),NOT(ISERROR(FIND("R",S8))))</f>
        <v>#NAME?</v>
      </c>
      <c r="AH8" s="3" t="e">
        <f>IF(S8=BLANK(),BLANK(),NOT(ISERROR(FIND("U",S8))))</f>
        <v>#NAME?</v>
      </c>
      <c r="AI8" s="3" t="e">
        <f>IF(S8=BLANK(),BLANK(),NOT(ISERROR(FIND("D",S8))))</f>
        <v>#NAME?</v>
      </c>
      <c r="AJ8" s="4" t="e">
        <f>IF(G8=BLANK(), 0, LEN(H8) - LEN(SUBSTITUTE(H8, ".", "")))</f>
        <v>#NAME?</v>
      </c>
      <c r="AK8" s="3" t="str">
        <f>D8</f>
        <v>/diagnosis</v>
      </c>
      <c r="AL8" s="3" t="str">
        <f>SUBSTITUTE(SUBSTITUTE(H8, ".", " "), "-", " ")</f>
        <v>diagnosis</v>
      </c>
      <c r="AM8" s="3" t="str">
        <f>"/admin/routing/" &amp; A8</f>
        <v>/admin/routing/nav-diagnosis</v>
      </c>
      <c r="AN8" s="6"/>
      <c r="AO8" s="2" t="s">
        <v>1284</v>
      </c>
      <c r="AP8" s="6"/>
      <c r="AQ8" s="2" t="s">
        <v>1284</v>
      </c>
      <c r="AR8" s="2"/>
    </row>
    <row r="9">
      <c r="A9" s="2" t="s">
        <v>1329</v>
      </c>
      <c r="B9" s="3" t="str">
        <f>SUBSTITUTE(LOWER(C9), " ", "-")</f>
        <v>case</v>
      </c>
      <c r="C9" s="2" t="s">
        <v>1330</v>
      </c>
      <c r="D9" s="2" t="s">
        <v>1331</v>
      </c>
      <c r="E9" s="2" t="s">
        <v>1332</v>
      </c>
      <c r="F9" s="2">
        <v>2</v>
      </c>
      <c r="G9" s="2" t="s">
        <v>243</v>
      </c>
      <c r="H9" s="2" t="s">
        <v>1333</v>
      </c>
      <c r="I9" s="2" t="s">
        <v>1278</v>
      </c>
      <c r="J9" s="2" t="s">
        <v>1325</v>
      </c>
      <c r="K9" s="2" t="s">
        <v>10</v>
      </c>
      <c r="L9" s="2" t="s">
        <v>1326</v>
      </c>
      <c r="M9" s="2" t="s">
        <v>1334</v>
      </c>
      <c r="N9" s="2" t="b">
        <v>1</v>
      </c>
      <c r="O9" s="2" t="b">
        <v>0</v>
      </c>
      <c r="P9" s="2" t="s">
        <v>1282</v>
      </c>
      <c r="Q9" s="2" t="s">
        <v>243</v>
      </c>
      <c r="R9" s="2" t="s">
        <v>1328</v>
      </c>
      <c r="S9" s="2" t="s">
        <v>243</v>
      </c>
      <c r="T9" s="3" t="e">
        <f>IF(P9=BLANK(),BLANK(),NOT(ISERROR(FIND("C",P9))))</f>
        <v>#NAME?</v>
      </c>
      <c r="U9" s="3" t="e">
        <f>IF(P9=BLANK(),BLANK(),NOT(ISERROR(FIND("R",P9))))</f>
        <v>#NAME?</v>
      </c>
      <c r="V9" s="3" t="e">
        <f>IF(P9=BLANK(),BLANK(),NOT(ISERROR(FIND("U",P9))))</f>
        <v>#NAME?</v>
      </c>
      <c r="W9" s="3" t="e">
        <f>IF(P9=BLANK(),BLANK(),NOT(ISERROR(FIND("D",P9))))</f>
        <v>#NAME?</v>
      </c>
      <c r="X9" s="3" t="e">
        <f>IF(Q9=BLANK(),BLANK(),NOT(ISERROR(FIND("C",Q9))))</f>
        <v>#NAME?</v>
      </c>
      <c r="Y9" s="3" t="e">
        <f>IF(Q9=BLANK(),BLANK(),NOT(ISERROR(FIND("R",Q9))))</f>
        <v>#NAME?</v>
      </c>
      <c r="Z9" s="3" t="e">
        <f>IF(Q9=BLANK(),BLANK(),NOT(ISERROR(FIND("U",Q9))))</f>
        <v>#NAME?</v>
      </c>
      <c r="AA9" s="3" t="e">
        <f>IF(Q9=BLANK(),BLANK(),NOT(ISERROR(FIND("D",Q9))))</f>
        <v>#NAME?</v>
      </c>
      <c r="AB9" s="3" t="e">
        <f>IF(R9=BLANK(),BLANK(),NOT(ISERROR(FIND("C",R9))))</f>
        <v>#NAME?</v>
      </c>
      <c r="AC9" s="3" t="e">
        <f>IF(R9=BLANK(),BLANK(),NOT(ISERROR(FIND("R",R9))))</f>
        <v>#NAME?</v>
      </c>
      <c r="AD9" s="3" t="e">
        <f>IF(R9=BLANK(),BLANK(),NOT(ISERROR(FIND("U",R9))))</f>
        <v>#NAME?</v>
      </c>
      <c r="AE9" s="3" t="e">
        <f>IF(R9=BLANK(),BLANK(),NOT(ISERROR(FIND("D",R9))))</f>
        <v>#NAME?</v>
      </c>
      <c r="AF9" s="3" t="e">
        <f>IF(S9=BLANK(),BLANK(),NOT(ISERROR(FIND("C",S9))))</f>
        <v>#NAME?</v>
      </c>
      <c r="AG9" s="3" t="e">
        <f>IF(S9=BLANK(),BLANK(),NOT(ISERROR(FIND("R",S9))))</f>
        <v>#NAME?</v>
      </c>
      <c r="AH9" s="3" t="e">
        <f>IF(S9=BLANK(),BLANK(),NOT(ISERROR(FIND("U",S9))))</f>
        <v>#NAME?</v>
      </c>
      <c r="AI9" s="3" t="e">
        <f>IF(S9=BLANK(),BLANK(),NOT(ISERROR(FIND("D",S9))))</f>
        <v>#NAME?</v>
      </c>
      <c r="AJ9" s="4" t="e">
        <f>IF(G9=BLANK(), 0, LEN(H9) - LEN(SUBSTITUTE(H9, ".", "")))</f>
        <v>#NAME?</v>
      </c>
      <c r="AK9" s="3" t="str">
        <f>D9</f>
        <v>/diagnosis/case/:predictionId</v>
      </c>
      <c r="AL9" s="3" t="str">
        <f>SUBSTITUTE(SUBSTITUTE(H9, ".", " "), "-", " ")</f>
        <v>diagnosis case</v>
      </c>
      <c r="AM9" s="3" t="str">
        <f>"/admin/routing/" &amp; A9</f>
        <v>/admin/routing/nav-diagnosis-case</v>
      </c>
      <c r="AN9" s="6"/>
      <c r="AO9" s="2" t="s">
        <v>1284</v>
      </c>
      <c r="AP9" s="6"/>
      <c r="AQ9" s="2" t="s">
        <v>1284</v>
      </c>
      <c r="AR9" s="2"/>
    </row>
    <row r="10">
      <c r="A10" s="2" t="s">
        <v>1335</v>
      </c>
      <c r="B10" s="3" t="str">
        <f>SUBSTITUTE(LOWER(C10), " ", "-")</f>
        <v>evidence</v>
      </c>
      <c r="C10" s="2" t="s">
        <v>1336</v>
      </c>
      <c r="D10" s="2" t="s">
        <v>1337</v>
      </c>
      <c r="E10" s="2" t="s">
        <v>1338</v>
      </c>
      <c r="F10" s="2">
        <v>22</v>
      </c>
      <c r="G10" s="2" t="s">
        <v>1333</v>
      </c>
      <c r="H10" s="2" t="s">
        <v>1339</v>
      </c>
      <c r="I10" s="2" t="s">
        <v>1297</v>
      </c>
      <c r="J10" s="2" t="s">
        <v>1325</v>
      </c>
      <c r="K10" s="2" t="s">
        <v>241</v>
      </c>
      <c r="L10" s="2" t="s">
        <v>1340</v>
      </c>
      <c r="M10" s="2" t="s">
        <v>1341</v>
      </c>
      <c r="N10" s="2" t="b">
        <v>1</v>
      </c>
      <c r="O10" s="2" t="b">
        <v>0</v>
      </c>
      <c r="P10" s="2" t="s">
        <v>1282</v>
      </c>
      <c r="Q10" s="2" t="s">
        <v>243</v>
      </c>
      <c r="R10" s="2" t="s">
        <v>1328</v>
      </c>
      <c r="S10" s="2" t="s">
        <v>243</v>
      </c>
      <c r="T10" s="3" t="e">
        <f>IF(P10=BLANK(),BLANK(),NOT(ISERROR(FIND("C",P10))))</f>
        <v>#NAME?</v>
      </c>
      <c r="U10" s="3" t="e">
        <f>IF(P10=BLANK(),BLANK(),NOT(ISERROR(FIND("R",P10))))</f>
        <v>#NAME?</v>
      </c>
      <c r="V10" s="3" t="e">
        <f>IF(P10=BLANK(),BLANK(),NOT(ISERROR(FIND("U",P10))))</f>
        <v>#NAME?</v>
      </c>
      <c r="W10" s="3" t="e">
        <f>IF(P10=BLANK(),BLANK(),NOT(ISERROR(FIND("D",P10))))</f>
        <v>#NAME?</v>
      </c>
      <c r="X10" s="3" t="e">
        <f>IF(Q10=BLANK(),BLANK(),NOT(ISERROR(FIND("C",Q10))))</f>
        <v>#NAME?</v>
      </c>
      <c r="Y10" s="3" t="e">
        <f>IF(Q10=BLANK(),BLANK(),NOT(ISERROR(FIND("R",Q10))))</f>
        <v>#NAME?</v>
      </c>
      <c r="Z10" s="3" t="e">
        <f>IF(Q10=BLANK(),BLANK(),NOT(ISERROR(FIND("U",Q10))))</f>
        <v>#NAME?</v>
      </c>
      <c r="AA10" s="3" t="e">
        <f>IF(Q10=BLANK(),BLANK(),NOT(ISERROR(FIND("D",Q10))))</f>
        <v>#NAME?</v>
      </c>
      <c r="AB10" s="3" t="e">
        <f>IF(R10=BLANK(),BLANK(),NOT(ISERROR(FIND("C",R10))))</f>
        <v>#NAME?</v>
      </c>
      <c r="AC10" s="3" t="e">
        <f>IF(R10=BLANK(),BLANK(),NOT(ISERROR(FIND("R",R10))))</f>
        <v>#NAME?</v>
      </c>
      <c r="AD10" s="3" t="e">
        <f>IF(R10=BLANK(),BLANK(),NOT(ISERROR(FIND("U",R10))))</f>
        <v>#NAME?</v>
      </c>
      <c r="AE10" s="3" t="e">
        <f>IF(R10=BLANK(),BLANK(),NOT(ISERROR(FIND("D",R10))))</f>
        <v>#NAME?</v>
      </c>
      <c r="AF10" s="3" t="e">
        <f>IF(S10=BLANK(),BLANK(),NOT(ISERROR(FIND("C",S10))))</f>
        <v>#NAME?</v>
      </c>
      <c r="AG10" s="3" t="e">
        <f>IF(S10=BLANK(),BLANK(),NOT(ISERROR(FIND("R",S10))))</f>
        <v>#NAME?</v>
      </c>
      <c r="AH10" s="3" t="e">
        <f>IF(S10=BLANK(),BLANK(),NOT(ISERROR(FIND("U",S10))))</f>
        <v>#NAME?</v>
      </c>
      <c r="AI10" s="3" t="e">
        <f>IF(S10=BLANK(),BLANK(),NOT(ISERROR(FIND("D",S10))))</f>
        <v>#NAME?</v>
      </c>
      <c r="AJ10" s="4" t="e">
        <f>IF(G10=BLANK(), 0, LEN(H10) - LEN(SUBSTITUTE(H10, ".", "")))</f>
        <v>#NAME?</v>
      </c>
      <c r="AK10" s="3" t="str">
        <f>D10</f>
        <v>/diagnosis/case/:predictionId/evidence</v>
      </c>
      <c r="AL10" s="3" t="str">
        <f>SUBSTITUTE(SUBSTITUTE(H10, ".", " "), "-", " ")</f>
        <v>diagnosis case evidence</v>
      </c>
      <c r="AM10" s="3" t="str">
        <f>"/admin/routing/" &amp; A10</f>
        <v>/admin/routing/nav-diagnosis-evidence</v>
      </c>
      <c r="AN10" s="6"/>
      <c r="AO10" s="2" t="s">
        <v>1284</v>
      </c>
      <c r="AP10" s="6"/>
      <c r="AQ10" s="2" t="s">
        <v>1284</v>
      </c>
      <c r="AR10" s="2"/>
    </row>
    <row r="11">
      <c r="A11" s="2" t="s">
        <v>1342</v>
      </c>
      <c r="B11" s="3" t="str">
        <f>SUBSTITUTE(LOWER(C11), " ", "-")</f>
        <v>mechanism</v>
      </c>
      <c r="C11" s="2" t="s">
        <v>1343</v>
      </c>
      <c r="D11" s="2" t="s">
        <v>1344</v>
      </c>
      <c r="E11" s="2" t="s">
        <v>1345</v>
      </c>
      <c r="F11" s="2">
        <v>23</v>
      </c>
      <c r="G11" s="2" t="s">
        <v>1333</v>
      </c>
      <c r="H11" s="2" t="s">
        <v>1346</v>
      </c>
      <c r="I11" s="2" t="s">
        <v>1297</v>
      </c>
      <c r="J11" s="2" t="s">
        <v>1325</v>
      </c>
      <c r="K11" s="2" t="s">
        <v>128</v>
      </c>
      <c r="L11" s="2" t="s">
        <v>1347</v>
      </c>
      <c r="M11" s="2" t="s">
        <v>1348</v>
      </c>
      <c r="N11" s="2" t="b">
        <v>1</v>
      </c>
      <c r="O11" s="2" t="b">
        <v>0</v>
      </c>
      <c r="P11" s="2" t="s">
        <v>1282</v>
      </c>
      <c r="Q11" s="2" t="s">
        <v>243</v>
      </c>
      <c r="R11" s="2" t="s">
        <v>1328</v>
      </c>
      <c r="S11" s="2" t="s">
        <v>243</v>
      </c>
      <c r="T11" s="3" t="e">
        <f>IF(P11=BLANK(),BLANK(),NOT(ISERROR(FIND("C",P11))))</f>
        <v>#NAME?</v>
      </c>
      <c r="U11" s="3" t="e">
        <f>IF(P11=BLANK(),BLANK(),NOT(ISERROR(FIND("R",P11))))</f>
        <v>#NAME?</v>
      </c>
      <c r="V11" s="3" t="e">
        <f>IF(P11=BLANK(),BLANK(),NOT(ISERROR(FIND("U",P11))))</f>
        <v>#NAME?</v>
      </c>
      <c r="W11" s="3" t="e">
        <f>IF(P11=BLANK(),BLANK(),NOT(ISERROR(FIND("D",P11))))</f>
        <v>#NAME?</v>
      </c>
      <c r="X11" s="3" t="e">
        <f>IF(Q11=BLANK(),BLANK(),NOT(ISERROR(FIND("C",Q11))))</f>
        <v>#NAME?</v>
      </c>
      <c r="Y11" s="3" t="e">
        <f>IF(Q11=BLANK(),BLANK(),NOT(ISERROR(FIND("R",Q11))))</f>
        <v>#NAME?</v>
      </c>
      <c r="Z11" s="3" t="e">
        <f>IF(Q11=BLANK(),BLANK(),NOT(ISERROR(FIND("U",Q11))))</f>
        <v>#NAME?</v>
      </c>
      <c r="AA11" s="3" t="e">
        <f>IF(Q11=BLANK(),BLANK(),NOT(ISERROR(FIND("D",Q11))))</f>
        <v>#NAME?</v>
      </c>
      <c r="AB11" s="3" t="e">
        <f>IF(R11=BLANK(),BLANK(),NOT(ISERROR(FIND("C",R11))))</f>
        <v>#NAME?</v>
      </c>
      <c r="AC11" s="3" t="e">
        <f>IF(R11=BLANK(),BLANK(),NOT(ISERROR(FIND("R",R11))))</f>
        <v>#NAME?</v>
      </c>
      <c r="AD11" s="3" t="e">
        <f>IF(R11=BLANK(),BLANK(),NOT(ISERROR(FIND("U",R11))))</f>
        <v>#NAME?</v>
      </c>
      <c r="AE11" s="3" t="e">
        <f>IF(R11=BLANK(),BLANK(),NOT(ISERROR(FIND("D",R11))))</f>
        <v>#NAME?</v>
      </c>
      <c r="AF11" s="3" t="e">
        <f>IF(S11=BLANK(),BLANK(),NOT(ISERROR(FIND("C",S11))))</f>
        <v>#NAME?</v>
      </c>
      <c r="AG11" s="3" t="e">
        <f>IF(S11=BLANK(),BLANK(),NOT(ISERROR(FIND("R",S11))))</f>
        <v>#NAME?</v>
      </c>
      <c r="AH11" s="3" t="e">
        <f>IF(S11=BLANK(),BLANK(),NOT(ISERROR(FIND("U",S11))))</f>
        <v>#NAME?</v>
      </c>
      <c r="AI11" s="3" t="e">
        <f>IF(S11=BLANK(),BLANK(),NOT(ISERROR(FIND("D",S11))))</f>
        <v>#NAME?</v>
      </c>
      <c r="AJ11" s="4" t="e">
        <f>IF(G11=BLANK(), 0, LEN(H11) - LEN(SUBSTITUTE(H11, ".", "")))</f>
        <v>#NAME?</v>
      </c>
      <c r="AK11" s="3" t="str">
        <f>D11</f>
        <v>/diagnosis/case/:predictionId/mechanism</v>
      </c>
      <c r="AL11" s="3" t="str">
        <f>SUBSTITUTE(SUBSTITUTE(H11, ".", " "), "-", " ")</f>
        <v>diagnosis case mechanism</v>
      </c>
      <c r="AM11" s="3" t="str">
        <f>"/admin/routing/" &amp; A11</f>
        <v>/admin/routing/nav-diagnosis-mechanism</v>
      </c>
      <c r="AN11" s="6"/>
      <c r="AO11" s="2" t="s">
        <v>1284</v>
      </c>
      <c r="AP11" s="6"/>
      <c r="AQ11" s="2" t="s">
        <v>1284</v>
      </c>
      <c r="AR11" s="2"/>
    </row>
    <row r="12">
      <c r="A12" s="2" t="s">
        <v>1349</v>
      </c>
      <c r="B12" s="3" t="str">
        <f>SUBSTITUTE(LOWER(C12), " ", "-")</f>
        <v>replication</v>
      </c>
      <c r="C12" s="2" t="s">
        <v>1350</v>
      </c>
      <c r="D12" s="2" t="s">
        <v>1351</v>
      </c>
      <c r="E12" s="2" t="s">
        <v>1352</v>
      </c>
      <c r="F12" s="2">
        <v>24</v>
      </c>
      <c r="G12" s="2" t="s">
        <v>1333</v>
      </c>
      <c r="H12" s="2" t="s">
        <v>1353</v>
      </c>
      <c r="I12" s="2" t="s">
        <v>1297</v>
      </c>
      <c r="J12" s="2" t="s">
        <v>1325</v>
      </c>
      <c r="K12" s="2" t="s">
        <v>74</v>
      </c>
      <c r="L12" s="2" t="s">
        <v>1354</v>
      </c>
      <c r="M12" s="2" t="s">
        <v>1355</v>
      </c>
      <c r="N12" s="2" t="b">
        <v>1</v>
      </c>
      <c r="O12" s="2" t="b">
        <v>0</v>
      </c>
      <c r="P12" s="2" t="s">
        <v>1282</v>
      </c>
      <c r="Q12" s="2" t="s">
        <v>243</v>
      </c>
      <c r="R12" s="2" t="s">
        <v>1328</v>
      </c>
      <c r="S12" s="2" t="s">
        <v>243</v>
      </c>
      <c r="T12" s="3" t="e">
        <f>IF(P12=BLANK(),BLANK(),NOT(ISERROR(FIND("C",P12))))</f>
        <v>#NAME?</v>
      </c>
      <c r="U12" s="3" t="e">
        <f>IF(P12=BLANK(),BLANK(),NOT(ISERROR(FIND("R",P12))))</f>
        <v>#NAME?</v>
      </c>
      <c r="V12" s="3" t="e">
        <f>IF(P12=BLANK(),BLANK(),NOT(ISERROR(FIND("U",P12))))</f>
        <v>#NAME?</v>
      </c>
      <c r="W12" s="3" t="e">
        <f>IF(P12=BLANK(),BLANK(),NOT(ISERROR(FIND("D",P12))))</f>
        <v>#NAME?</v>
      </c>
      <c r="X12" s="3" t="e">
        <f>IF(Q12=BLANK(),BLANK(),NOT(ISERROR(FIND("C",Q12))))</f>
        <v>#NAME?</v>
      </c>
      <c r="Y12" s="3" t="e">
        <f>IF(Q12=BLANK(),BLANK(),NOT(ISERROR(FIND("R",Q12))))</f>
        <v>#NAME?</v>
      </c>
      <c r="Z12" s="3" t="e">
        <f>IF(Q12=BLANK(),BLANK(),NOT(ISERROR(FIND("U",Q12))))</f>
        <v>#NAME?</v>
      </c>
      <c r="AA12" s="3" t="e">
        <f>IF(Q12=BLANK(),BLANK(),NOT(ISERROR(FIND("D",Q12))))</f>
        <v>#NAME?</v>
      </c>
      <c r="AB12" s="3" t="e">
        <f>IF(R12=BLANK(),BLANK(),NOT(ISERROR(FIND("C",R12))))</f>
        <v>#NAME?</v>
      </c>
      <c r="AC12" s="3" t="e">
        <f>IF(R12=BLANK(),BLANK(),NOT(ISERROR(FIND("R",R12))))</f>
        <v>#NAME?</v>
      </c>
      <c r="AD12" s="3" t="e">
        <f>IF(R12=BLANK(),BLANK(),NOT(ISERROR(FIND("U",R12))))</f>
        <v>#NAME?</v>
      </c>
      <c r="AE12" s="3" t="e">
        <f>IF(R12=BLANK(),BLANK(),NOT(ISERROR(FIND("D",R12))))</f>
        <v>#NAME?</v>
      </c>
      <c r="AF12" s="3" t="e">
        <f>IF(S12=BLANK(),BLANK(),NOT(ISERROR(FIND("C",S12))))</f>
        <v>#NAME?</v>
      </c>
      <c r="AG12" s="3" t="e">
        <f>IF(S12=BLANK(),BLANK(),NOT(ISERROR(FIND("R",S12))))</f>
        <v>#NAME?</v>
      </c>
      <c r="AH12" s="3" t="e">
        <f>IF(S12=BLANK(),BLANK(),NOT(ISERROR(FIND("U",S12))))</f>
        <v>#NAME?</v>
      </c>
      <c r="AI12" s="3" t="e">
        <f>IF(S12=BLANK(),BLANK(),NOT(ISERROR(FIND("D",S12))))</f>
        <v>#NAME?</v>
      </c>
      <c r="AJ12" s="4" t="e">
        <f>IF(G12=BLANK(), 0, LEN(H12) - LEN(SUBSTITUTE(H12, ".", "")))</f>
        <v>#NAME?</v>
      </c>
      <c r="AK12" s="3" t="str">
        <f>D12</f>
        <v>/diagnosis/case/:predictionId/replication</v>
      </c>
      <c r="AL12" s="3" t="str">
        <f>SUBSTITUTE(SUBSTITUTE(H12, ".", " "), "-", " ")</f>
        <v>diagnosis case replication</v>
      </c>
      <c r="AM12" s="3" t="str">
        <f>"/admin/routing/" &amp; A12</f>
        <v>/admin/routing/nav-diagnosis-replication</v>
      </c>
      <c r="AN12" s="6"/>
      <c r="AO12" s="2" t="s">
        <v>1284</v>
      </c>
      <c r="AP12" s="6"/>
      <c r="AQ12" s="2" t="s">
        <v>1284</v>
      </c>
      <c r="AR12" s="2"/>
    </row>
    <row r="13">
      <c r="A13" s="2" t="s">
        <v>1356</v>
      </c>
      <c r="B13" s="3" t="str">
        <f>SUBSTITUTE(LOWER(C13), " ", "-")</f>
        <v>neg-controls</v>
      </c>
      <c r="C13" s="2" t="s">
        <v>1357</v>
      </c>
      <c r="D13" s="2" t="s">
        <v>1358</v>
      </c>
      <c r="E13" s="2" t="s">
        <v>1359</v>
      </c>
      <c r="F13" s="2">
        <v>25</v>
      </c>
      <c r="G13" s="2" t="s">
        <v>1333</v>
      </c>
      <c r="H13" s="2" t="s">
        <v>1360</v>
      </c>
      <c r="I13" s="2" t="s">
        <v>1297</v>
      </c>
      <c r="J13" s="2" t="s">
        <v>1325</v>
      </c>
      <c r="K13" s="2" t="s">
        <v>567</v>
      </c>
      <c r="L13" s="2" t="s">
        <v>1361</v>
      </c>
      <c r="M13" s="2" t="s">
        <v>1362</v>
      </c>
      <c r="N13" s="2" t="b">
        <v>1</v>
      </c>
      <c r="O13" s="2" t="b">
        <v>0</v>
      </c>
      <c r="P13" s="2" t="s">
        <v>1282</v>
      </c>
      <c r="Q13" s="2" t="s">
        <v>243</v>
      </c>
      <c r="R13" s="2" t="s">
        <v>1328</v>
      </c>
      <c r="S13" s="2" t="s">
        <v>243</v>
      </c>
      <c r="T13" s="3" t="e">
        <f>IF(P13=BLANK(),BLANK(),NOT(ISERROR(FIND("C",P13))))</f>
        <v>#NAME?</v>
      </c>
      <c r="U13" s="3" t="e">
        <f>IF(P13=BLANK(),BLANK(),NOT(ISERROR(FIND("R",P13))))</f>
        <v>#NAME?</v>
      </c>
      <c r="V13" s="3" t="e">
        <f>IF(P13=BLANK(),BLANK(),NOT(ISERROR(FIND("U",P13))))</f>
        <v>#NAME?</v>
      </c>
      <c r="W13" s="3" t="e">
        <f>IF(P13=BLANK(),BLANK(),NOT(ISERROR(FIND("D",P13))))</f>
        <v>#NAME?</v>
      </c>
      <c r="X13" s="3" t="e">
        <f>IF(Q13=BLANK(),BLANK(),NOT(ISERROR(FIND("C",Q13))))</f>
        <v>#NAME?</v>
      </c>
      <c r="Y13" s="3" t="e">
        <f>IF(Q13=BLANK(),BLANK(),NOT(ISERROR(FIND("R",Q13))))</f>
        <v>#NAME?</v>
      </c>
      <c r="Z13" s="3" t="e">
        <f>IF(Q13=BLANK(),BLANK(),NOT(ISERROR(FIND("U",Q13))))</f>
        <v>#NAME?</v>
      </c>
      <c r="AA13" s="3" t="e">
        <f>IF(Q13=BLANK(),BLANK(),NOT(ISERROR(FIND("D",Q13))))</f>
        <v>#NAME?</v>
      </c>
      <c r="AB13" s="3" t="e">
        <f>IF(R13=BLANK(),BLANK(),NOT(ISERROR(FIND("C",R13))))</f>
        <v>#NAME?</v>
      </c>
      <c r="AC13" s="3" t="e">
        <f>IF(R13=BLANK(),BLANK(),NOT(ISERROR(FIND("R",R13))))</f>
        <v>#NAME?</v>
      </c>
      <c r="AD13" s="3" t="e">
        <f>IF(R13=BLANK(),BLANK(),NOT(ISERROR(FIND("U",R13))))</f>
        <v>#NAME?</v>
      </c>
      <c r="AE13" s="3" t="e">
        <f>IF(R13=BLANK(),BLANK(),NOT(ISERROR(FIND("D",R13))))</f>
        <v>#NAME?</v>
      </c>
      <c r="AF13" s="3" t="e">
        <f>IF(S13=BLANK(),BLANK(),NOT(ISERROR(FIND("C",S13))))</f>
        <v>#NAME?</v>
      </c>
      <c r="AG13" s="3" t="e">
        <f>IF(S13=BLANK(),BLANK(),NOT(ISERROR(FIND("R",S13))))</f>
        <v>#NAME?</v>
      </c>
      <c r="AH13" s="3" t="e">
        <f>IF(S13=BLANK(),BLANK(),NOT(ISERROR(FIND("U",S13))))</f>
        <v>#NAME?</v>
      </c>
      <c r="AI13" s="3" t="e">
        <f>IF(S13=BLANK(),BLANK(),NOT(ISERROR(FIND("D",S13))))</f>
        <v>#NAME?</v>
      </c>
      <c r="AJ13" s="4" t="e">
        <f>IF(G13=BLANK(), 0, LEN(H13) - LEN(SUBSTITUTE(H13, ".", "")))</f>
        <v>#NAME?</v>
      </c>
      <c r="AK13" s="3" t="str">
        <f>D13</f>
        <v>/diagnosis/case/:predictionId/controls</v>
      </c>
      <c r="AL13" s="3" t="str">
        <f>SUBSTITUTE(SUBSTITUTE(H13, ".", " "), "-", " ")</f>
        <v>diagnosis case controls</v>
      </c>
      <c r="AM13" s="3" t="str">
        <f>"/admin/routing/" &amp; A13</f>
        <v>/admin/routing/nav-diagnosis-controls</v>
      </c>
      <c r="AN13" s="6"/>
      <c r="AO13" s="2" t="s">
        <v>1284</v>
      </c>
      <c r="AP13" s="6"/>
      <c r="AQ13" s="2" t="s">
        <v>1284</v>
      </c>
      <c r="AR13" s="2"/>
    </row>
    <row r="14">
      <c r="A14" s="2" t="s">
        <v>1363</v>
      </c>
      <c r="B14" s="3" t="str">
        <f>SUBSTITUTE(LOWER(C14), " ", "-")</f>
        <v>calibration</v>
      </c>
      <c r="C14" s="2" t="s">
        <v>1364</v>
      </c>
      <c r="D14" s="2" t="s">
        <v>1365</v>
      </c>
      <c r="E14" s="2" t="s">
        <v>1366</v>
      </c>
      <c r="F14" s="2">
        <v>26</v>
      </c>
      <c r="G14" s="2" t="s">
        <v>1333</v>
      </c>
      <c r="H14" s="2" t="s">
        <v>1367</v>
      </c>
      <c r="I14" s="2" t="s">
        <v>1297</v>
      </c>
      <c r="J14" s="2" t="s">
        <v>1325</v>
      </c>
      <c r="K14" s="2" t="s">
        <v>627</v>
      </c>
      <c r="L14" s="2" t="s">
        <v>1368</v>
      </c>
      <c r="M14" s="2" t="s">
        <v>1369</v>
      </c>
      <c r="N14" s="2" t="b">
        <v>1</v>
      </c>
      <c r="O14" s="2" t="b">
        <v>0</v>
      </c>
      <c r="P14" s="2" t="s">
        <v>1282</v>
      </c>
      <c r="Q14" s="2" t="s">
        <v>243</v>
      </c>
      <c r="R14" s="2" t="s">
        <v>1328</v>
      </c>
      <c r="S14" s="2" t="s">
        <v>243</v>
      </c>
      <c r="T14" s="3" t="e">
        <f>IF(P14=BLANK(),BLANK(),NOT(ISERROR(FIND("C",P14))))</f>
        <v>#NAME?</v>
      </c>
      <c r="U14" s="3" t="e">
        <f>IF(P14=BLANK(),BLANK(),NOT(ISERROR(FIND("R",P14))))</f>
        <v>#NAME?</v>
      </c>
      <c r="V14" s="3" t="e">
        <f>IF(P14=BLANK(),BLANK(),NOT(ISERROR(FIND("U",P14))))</f>
        <v>#NAME?</v>
      </c>
      <c r="W14" s="3" t="e">
        <f>IF(P14=BLANK(),BLANK(),NOT(ISERROR(FIND("D",P14))))</f>
        <v>#NAME?</v>
      </c>
      <c r="X14" s="3" t="e">
        <f>IF(Q14=BLANK(),BLANK(),NOT(ISERROR(FIND("C",Q14))))</f>
        <v>#NAME?</v>
      </c>
      <c r="Y14" s="3" t="e">
        <f>IF(Q14=BLANK(),BLANK(),NOT(ISERROR(FIND("R",Q14))))</f>
        <v>#NAME?</v>
      </c>
      <c r="Z14" s="3" t="e">
        <f>IF(Q14=BLANK(),BLANK(),NOT(ISERROR(FIND("U",Q14))))</f>
        <v>#NAME?</v>
      </c>
      <c r="AA14" s="3" t="e">
        <f>IF(Q14=BLANK(),BLANK(),NOT(ISERROR(FIND("D",Q14))))</f>
        <v>#NAME?</v>
      </c>
      <c r="AB14" s="3" t="e">
        <f>IF(R14=BLANK(),BLANK(),NOT(ISERROR(FIND("C",R14))))</f>
        <v>#NAME?</v>
      </c>
      <c r="AC14" s="3" t="e">
        <f>IF(R14=BLANK(),BLANK(),NOT(ISERROR(FIND("R",R14))))</f>
        <v>#NAME?</v>
      </c>
      <c r="AD14" s="3" t="e">
        <f>IF(R14=BLANK(),BLANK(),NOT(ISERROR(FIND("U",R14))))</f>
        <v>#NAME?</v>
      </c>
      <c r="AE14" s="3" t="e">
        <f>IF(R14=BLANK(),BLANK(),NOT(ISERROR(FIND("D",R14))))</f>
        <v>#NAME?</v>
      </c>
      <c r="AF14" s="3" t="e">
        <f>IF(S14=BLANK(),BLANK(),NOT(ISERROR(FIND("C",S14))))</f>
        <v>#NAME?</v>
      </c>
      <c r="AG14" s="3" t="e">
        <f>IF(S14=BLANK(),BLANK(),NOT(ISERROR(FIND("R",S14))))</f>
        <v>#NAME?</v>
      </c>
      <c r="AH14" s="3" t="e">
        <f>IF(S14=BLANK(),BLANK(),NOT(ISERROR(FIND("U",S14))))</f>
        <v>#NAME?</v>
      </c>
      <c r="AI14" s="3" t="e">
        <f>IF(S14=BLANK(),BLANK(),NOT(ISERROR(FIND("D",S14))))</f>
        <v>#NAME?</v>
      </c>
      <c r="AJ14" s="4" t="e">
        <f>IF(G14=BLANK(), 0, LEN(H14) - LEN(SUBSTITUTE(H14, ".", "")))</f>
        <v>#NAME?</v>
      </c>
      <c r="AK14" s="3" t="str">
        <f>D14</f>
        <v>/diagnosis/case/:predictionId/calibration</v>
      </c>
      <c r="AL14" s="3" t="str">
        <f>SUBSTITUTE(SUBSTITUTE(H14, ".", " "), "-", " ")</f>
        <v>diagnosis case calibration</v>
      </c>
      <c r="AM14" s="3" t="str">
        <f>"/admin/routing/" &amp; A14</f>
        <v>/admin/routing/nav-diagnosis-calibration</v>
      </c>
      <c r="AN14" s="6"/>
      <c r="AO14" s="2" t="s">
        <v>1284</v>
      </c>
      <c r="AP14" s="6"/>
      <c r="AQ14" s="2" t="s">
        <v>1284</v>
      </c>
      <c r="AR14" s="2"/>
    </row>
    <row r="15">
      <c r="A15" s="2" t="s">
        <v>1370</v>
      </c>
      <c r="B15" s="3" t="str">
        <f>SUBSTITUTE(LOWER(C15), " ", "-")</f>
        <v>gates</v>
      </c>
      <c r="C15" s="2" t="s">
        <v>1371</v>
      </c>
      <c r="D15" s="2" t="s">
        <v>1372</v>
      </c>
      <c r="E15" s="2" t="s">
        <v>1373</v>
      </c>
      <c r="F15" s="2">
        <v>27</v>
      </c>
      <c r="G15" s="2" t="s">
        <v>1333</v>
      </c>
      <c r="H15" s="2" t="s">
        <v>1374</v>
      </c>
      <c r="I15" s="2" t="s">
        <v>1297</v>
      </c>
      <c r="J15" s="2" t="s">
        <v>1325</v>
      </c>
      <c r="K15" s="2" t="s">
        <v>10</v>
      </c>
      <c r="L15" s="2" t="s">
        <v>1326</v>
      </c>
      <c r="M15" s="2" t="s">
        <v>1375</v>
      </c>
      <c r="N15" s="2" t="b">
        <v>1</v>
      </c>
      <c r="O15" s="2" t="b">
        <v>0</v>
      </c>
      <c r="P15" s="2" t="s">
        <v>1282</v>
      </c>
      <c r="Q15" s="2" t="s">
        <v>243</v>
      </c>
      <c r="R15" s="2" t="s">
        <v>1328</v>
      </c>
      <c r="S15" s="2" t="s">
        <v>243</v>
      </c>
      <c r="T15" s="3" t="e">
        <f>IF(P15=BLANK(),BLANK(),NOT(ISERROR(FIND("C",P15))))</f>
        <v>#NAME?</v>
      </c>
      <c r="U15" s="3" t="e">
        <f>IF(P15=BLANK(),BLANK(),NOT(ISERROR(FIND("R",P15))))</f>
        <v>#NAME?</v>
      </c>
      <c r="V15" s="3" t="e">
        <f>IF(P15=BLANK(),BLANK(),NOT(ISERROR(FIND("U",P15))))</f>
        <v>#NAME?</v>
      </c>
      <c r="W15" s="3" t="e">
        <f>IF(P15=BLANK(),BLANK(),NOT(ISERROR(FIND("D",P15))))</f>
        <v>#NAME?</v>
      </c>
      <c r="X15" s="3" t="e">
        <f>IF(Q15=BLANK(),BLANK(),NOT(ISERROR(FIND("C",Q15))))</f>
        <v>#NAME?</v>
      </c>
      <c r="Y15" s="3" t="e">
        <f>IF(Q15=BLANK(),BLANK(),NOT(ISERROR(FIND("R",Q15))))</f>
        <v>#NAME?</v>
      </c>
      <c r="Z15" s="3" t="e">
        <f>IF(Q15=BLANK(),BLANK(),NOT(ISERROR(FIND("U",Q15))))</f>
        <v>#NAME?</v>
      </c>
      <c r="AA15" s="3" t="e">
        <f>IF(Q15=BLANK(),BLANK(),NOT(ISERROR(FIND("D",Q15))))</f>
        <v>#NAME?</v>
      </c>
      <c r="AB15" s="3" t="e">
        <f>IF(R15=BLANK(),BLANK(),NOT(ISERROR(FIND("C",R15))))</f>
        <v>#NAME?</v>
      </c>
      <c r="AC15" s="3" t="e">
        <f>IF(R15=BLANK(),BLANK(),NOT(ISERROR(FIND("R",R15))))</f>
        <v>#NAME?</v>
      </c>
      <c r="AD15" s="3" t="e">
        <f>IF(R15=BLANK(),BLANK(),NOT(ISERROR(FIND("U",R15))))</f>
        <v>#NAME?</v>
      </c>
      <c r="AE15" s="3" t="e">
        <f>IF(R15=BLANK(),BLANK(),NOT(ISERROR(FIND("D",R15))))</f>
        <v>#NAME?</v>
      </c>
      <c r="AF15" s="3" t="e">
        <f>IF(S15=BLANK(),BLANK(),NOT(ISERROR(FIND("C",S15))))</f>
        <v>#NAME?</v>
      </c>
      <c r="AG15" s="3" t="e">
        <f>IF(S15=BLANK(),BLANK(),NOT(ISERROR(FIND("R",S15))))</f>
        <v>#NAME?</v>
      </c>
      <c r="AH15" s="3" t="e">
        <f>IF(S15=BLANK(),BLANK(),NOT(ISERROR(FIND("U",S15))))</f>
        <v>#NAME?</v>
      </c>
      <c r="AI15" s="3" t="e">
        <f>IF(S15=BLANK(),BLANK(),NOT(ISERROR(FIND("D",S15))))</f>
        <v>#NAME?</v>
      </c>
      <c r="AJ15" s="4" t="e">
        <f>IF(G15=BLANK(), 0, LEN(H15) - LEN(SUBSTITUTE(H15, ".", "")))</f>
        <v>#NAME?</v>
      </c>
      <c r="AK15" s="3" t="str">
        <f>D15</f>
        <v>/diagnosis/case/:predictionId/gates</v>
      </c>
      <c r="AL15" s="3" t="str">
        <f>SUBSTITUTE(SUBSTITUTE(H15, ".", " "), "-", " ")</f>
        <v>diagnosis case gates</v>
      </c>
      <c r="AM15" s="3" t="str">
        <f>"/admin/routing/" &amp; A15</f>
        <v>/admin/routing/nav-diagnosis-gates</v>
      </c>
      <c r="AN15" s="6"/>
      <c r="AO15" s="2" t="s">
        <v>1284</v>
      </c>
      <c r="AP15" s="6"/>
      <c r="AQ15" s="2" t="s">
        <v>1284</v>
      </c>
      <c r="AR15" s="2"/>
    </row>
    <row r="16">
      <c r="A16" s="2" t="s">
        <v>1376</v>
      </c>
      <c r="B16" s="3" t="str">
        <f>SUBSTITUTE(LOWER(C16), " ", "-")</f>
        <v>keystone</v>
      </c>
      <c r="C16" s="2" t="s">
        <v>1377</v>
      </c>
      <c r="D16" s="2" t="s">
        <v>1378</v>
      </c>
      <c r="E16" s="2" t="s">
        <v>1379</v>
      </c>
      <c r="F16" s="2">
        <v>28</v>
      </c>
      <c r="G16" s="2" t="s">
        <v>1333</v>
      </c>
      <c r="H16" s="2" t="s">
        <v>1380</v>
      </c>
      <c r="I16" s="2" t="s">
        <v>1297</v>
      </c>
      <c r="J16" s="2" t="s">
        <v>1325</v>
      </c>
      <c r="K16" s="2" t="s">
        <v>10</v>
      </c>
      <c r="L16" s="2" t="s">
        <v>1326</v>
      </c>
      <c r="M16" s="2" t="s">
        <v>1381</v>
      </c>
      <c r="N16" s="2" t="b">
        <v>1</v>
      </c>
      <c r="O16" s="2" t="b">
        <v>0</v>
      </c>
      <c r="P16" s="2" t="s">
        <v>1282</v>
      </c>
      <c r="Q16" s="2" t="s">
        <v>243</v>
      </c>
      <c r="R16" s="2" t="s">
        <v>1328</v>
      </c>
      <c r="S16" s="2" t="s">
        <v>243</v>
      </c>
      <c r="T16" s="3" t="e">
        <f>IF(P16=BLANK(),BLANK(),NOT(ISERROR(FIND("C",P16))))</f>
        <v>#NAME?</v>
      </c>
      <c r="U16" s="3" t="e">
        <f>IF(P16=BLANK(),BLANK(),NOT(ISERROR(FIND("R",P16))))</f>
        <v>#NAME?</v>
      </c>
      <c r="V16" s="3" t="e">
        <f>IF(P16=BLANK(),BLANK(),NOT(ISERROR(FIND("U",P16))))</f>
        <v>#NAME?</v>
      </c>
      <c r="W16" s="3" t="e">
        <f>IF(P16=BLANK(),BLANK(),NOT(ISERROR(FIND("D",P16))))</f>
        <v>#NAME?</v>
      </c>
      <c r="X16" s="3" t="e">
        <f>IF(Q16=BLANK(),BLANK(),NOT(ISERROR(FIND("C",Q16))))</f>
        <v>#NAME?</v>
      </c>
      <c r="Y16" s="3" t="e">
        <f>IF(Q16=BLANK(),BLANK(),NOT(ISERROR(FIND("R",Q16))))</f>
        <v>#NAME?</v>
      </c>
      <c r="Z16" s="3" t="e">
        <f>IF(Q16=BLANK(),BLANK(),NOT(ISERROR(FIND("U",Q16))))</f>
        <v>#NAME?</v>
      </c>
      <c r="AA16" s="3" t="e">
        <f>IF(Q16=BLANK(),BLANK(),NOT(ISERROR(FIND("D",Q16))))</f>
        <v>#NAME?</v>
      </c>
      <c r="AB16" s="3" t="e">
        <f>IF(R16=BLANK(),BLANK(),NOT(ISERROR(FIND("C",R16))))</f>
        <v>#NAME?</v>
      </c>
      <c r="AC16" s="3" t="e">
        <f>IF(R16=BLANK(),BLANK(),NOT(ISERROR(FIND("R",R16))))</f>
        <v>#NAME?</v>
      </c>
      <c r="AD16" s="3" t="e">
        <f>IF(R16=BLANK(),BLANK(),NOT(ISERROR(FIND("U",R16))))</f>
        <v>#NAME?</v>
      </c>
      <c r="AE16" s="3" t="e">
        <f>IF(R16=BLANK(),BLANK(),NOT(ISERROR(FIND("D",R16))))</f>
        <v>#NAME?</v>
      </c>
      <c r="AF16" s="3" t="e">
        <f>IF(S16=BLANK(),BLANK(),NOT(ISERROR(FIND("C",S16))))</f>
        <v>#NAME?</v>
      </c>
      <c r="AG16" s="3" t="e">
        <f>IF(S16=BLANK(),BLANK(),NOT(ISERROR(FIND("R",S16))))</f>
        <v>#NAME?</v>
      </c>
      <c r="AH16" s="3" t="e">
        <f>IF(S16=BLANK(),BLANK(),NOT(ISERROR(FIND("U",S16))))</f>
        <v>#NAME?</v>
      </c>
      <c r="AI16" s="3" t="e">
        <f>IF(S16=BLANK(),BLANK(),NOT(ISERROR(FIND("D",S16))))</f>
        <v>#NAME?</v>
      </c>
      <c r="AJ16" s="4" t="e">
        <f>IF(G16=BLANK(), 0, LEN(H16) - LEN(SUBSTITUTE(H16, ".", "")))</f>
        <v>#NAME?</v>
      </c>
      <c r="AK16" s="3" t="str">
        <f>D16</f>
        <v>/diagnosis/case/:predictionId/keystone</v>
      </c>
      <c r="AL16" s="3" t="str">
        <f>SUBSTITUTE(SUBSTITUTE(H16, ".", " "), "-", " ")</f>
        <v>diagnosis case keystone</v>
      </c>
      <c r="AM16" s="3" t="str">
        <f>"/admin/routing/" &amp; A16</f>
        <v>/admin/routing/nav-diagnosis-keystone</v>
      </c>
      <c r="AN16" s="6"/>
      <c r="AO16" s="2" t="s">
        <v>1284</v>
      </c>
      <c r="AP16" s="6"/>
      <c r="AQ16" s="2" t="s">
        <v>1284</v>
      </c>
      <c r="AR16" s="2"/>
    </row>
    <row r="17">
      <c r="A17" s="2" t="s">
        <v>1382</v>
      </c>
      <c r="B17" s="3" t="str">
        <f>SUBSTITUTE(LOWER(C17), " ", "-")</f>
        <v>report</v>
      </c>
      <c r="C17" s="2" t="s">
        <v>1383</v>
      </c>
      <c r="D17" s="2" t="s">
        <v>1384</v>
      </c>
      <c r="E17" s="2" t="s">
        <v>1385</v>
      </c>
      <c r="F17" s="2">
        <v>29</v>
      </c>
      <c r="G17" s="2" t="s">
        <v>1333</v>
      </c>
      <c r="H17" s="2" t="s">
        <v>1386</v>
      </c>
      <c r="I17" s="2" t="s">
        <v>1297</v>
      </c>
      <c r="J17" s="2" t="s">
        <v>1325</v>
      </c>
      <c r="K17" s="2" t="s">
        <v>10</v>
      </c>
      <c r="L17" s="2" t="s">
        <v>1326</v>
      </c>
      <c r="M17" s="2" t="s">
        <v>1387</v>
      </c>
      <c r="N17" s="2" t="b">
        <v>1</v>
      </c>
      <c r="O17" s="2" t="b">
        <v>0</v>
      </c>
      <c r="P17" s="2" t="s">
        <v>1328</v>
      </c>
      <c r="Q17" s="2" t="s">
        <v>243</v>
      </c>
      <c r="R17" s="2" t="s">
        <v>1328</v>
      </c>
      <c r="S17" s="2" t="s">
        <v>243</v>
      </c>
      <c r="T17" s="3" t="e">
        <f>IF(P17=BLANK(),BLANK(),NOT(ISERROR(FIND("C",P17))))</f>
        <v>#NAME?</v>
      </c>
      <c r="U17" s="3" t="e">
        <f>IF(P17=BLANK(),BLANK(),NOT(ISERROR(FIND("R",P17))))</f>
        <v>#NAME?</v>
      </c>
      <c r="V17" s="3" t="e">
        <f>IF(P17=BLANK(),BLANK(),NOT(ISERROR(FIND("U",P17))))</f>
        <v>#NAME?</v>
      </c>
      <c r="W17" s="3" t="e">
        <f>IF(P17=BLANK(),BLANK(),NOT(ISERROR(FIND("D",P17))))</f>
        <v>#NAME?</v>
      </c>
      <c r="X17" s="3" t="e">
        <f>IF(Q17=BLANK(),BLANK(),NOT(ISERROR(FIND("C",Q17))))</f>
        <v>#NAME?</v>
      </c>
      <c r="Y17" s="3" t="e">
        <f>IF(Q17=BLANK(),BLANK(),NOT(ISERROR(FIND("R",Q17))))</f>
        <v>#NAME?</v>
      </c>
      <c r="Z17" s="3" t="e">
        <f>IF(Q17=BLANK(),BLANK(),NOT(ISERROR(FIND("U",Q17))))</f>
        <v>#NAME?</v>
      </c>
      <c r="AA17" s="3" t="e">
        <f>IF(Q17=BLANK(),BLANK(),NOT(ISERROR(FIND("D",Q17))))</f>
        <v>#NAME?</v>
      </c>
      <c r="AB17" s="3" t="e">
        <f>IF(R17=BLANK(),BLANK(),NOT(ISERROR(FIND("C",R17))))</f>
        <v>#NAME?</v>
      </c>
      <c r="AC17" s="3" t="e">
        <f>IF(R17=BLANK(),BLANK(),NOT(ISERROR(FIND("R",R17))))</f>
        <v>#NAME?</v>
      </c>
      <c r="AD17" s="3" t="e">
        <f>IF(R17=BLANK(),BLANK(),NOT(ISERROR(FIND("U",R17))))</f>
        <v>#NAME?</v>
      </c>
      <c r="AE17" s="3" t="e">
        <f>IF(R17=BLANK(),BLANK(),NOT(ISERROR(FIND("D",R17))))</f>
        <v>#NAME?</v>
      </c>
      <c r="AF17" s="3" t="e">
        <f>IF(S17=BLANK(),BLANK(),NOT(ISERROR(FIND("C",S17))))</f>
        <v>#NAME?</v>
      </c>
      <c r="AG17" s="3" t="e">
        <f>IF(S17=BLANK(),BLANK(),NOT(ISERROR(FIND("R",S17))))</f>
        <v>#NAME?</v>
      </c>
      <c r="AH17" s="3" t="e">
        <f>IF(S17=BLANK(),BLANK(),NOT(ISERROR(FIND("U",S17))))</f>
        <v>#NAME?</v>
      </c>
      <c r="AI17" s="3" t="e">
        <f>IF(S17=BLANK(),BLANK(),NOT(ISERROR(FIND("D",S17))))</f>
        <v>#NAME?</v>
      </c>
      <c r="AJ17" s="4" t="e">
        <f>IF(G17=BLANK(), 0, LEN(H17) - LEN(SUBSTITUTE(H17, ".", "")))</f>
        <v>#NAME?</v>
      </c>
      <c r="AK17" s="3" t="str">
        <f>D17</f>
        <v>/diagnosis/case/:predictionId/report</v>
      </c>
      <c r="AL17" s="3" t="str">
        <f>SUBSTITUTE(SUBSTITUTE(H17, ".", " "), "-", " ")</f>
        <v>diagnosis case report</v>
      </c>
      <c r="AM17" s="3" t="str">
        <f>"/admin/routing/" &amp; A17</f>
        <v>/admin/routing/nav-diagnosis-report</v>
      </c>
      <c r="AN17" s="6"/>
      <c r="AO17" s="2" t="s">
        <v>1284</v>
      </c>
      <c r="AP17" s="6"/>
      <c r="AQ17" s="2" t="s">
        <v>1284</v>
      </c>
      <c r="AR17" s="2"/>
    </row>
    <row r="18">
      <c r="A18" s="2" t="s">
        <v>1388</v>
      </c>
      <c r="B18" s="3" t="str">
        <f>SUBSTITUTE(LOWER(C18), " ", "-")</f>
        <v>admin</v>
      </c>
      <c r="C18" s="2" t="s">
        <v>1389</v>
      </c>
      <c r="D18" s="2" t="s">
        <v>1390</v>
      </c>
      <c r="E18" s="2" t="s">
        <v>1391</v>
      </c>
      <c r="F18" s="2">
        <v>90</v>
      </c>
      <c r="G18" s="2" t="s">
        <v>243</v>
      </c>
      <c r="H18" s="2" t="s">
        <v>1392</v>
      </c>
      <c r="I18" s="2" t="s">
        <v>1278</v>
      </c>
      <c r="J18" s="2" t="s">
        <v>1392</v>
      </c>
      <c r="K18" s="2"/>
      <c r="L18" s="2"/>
      <c r="M18" s="2" t="s">
        <v>1393</v>
      </c>
      <c r="N18" s="2" t="b">
        <v>0</v>
      </c>
      <c r="O18" s="2" t="b">
        <v>1</v>
      </c>
      <c r="P18" s="2" t="s">
        <v>1282</v>
      </c>
      <c r="Q18" s="2" t="s">
        <v>243</v>
      </c>
      <c r="R18" s="2" t="s">
        <v>243</v>
      </c>
      <c r="S18" s="2" t="s">
        <v>243</v>
      </c>
      <c r="T18" s="3" t="e">
        <f>IF(P18=BLANK(),BLANK(),NOT(ISERROR(FIND("C",P18))))</f>
        <v>#NAME?</v>
      </c>
      <c r="U18" s="3" t="e">
        <f>IF(P18=BLANK(),BLANK(),NOT(ISERROR(FIND("R",P18))))</f>
        <v>#NAME?</v>
      </c>
      <c r="V18" s="3" t="e">
        <f>IF(P18=BLANK(),BLANK(),NOT(ISERROR(FIND("U",P18))))</f>
        <v>#NAME?</v>
      </c>
      <c r="W18" s="3" t="e">
        <f>IF(P18=BLANK(),BLANK(),NOT(ISERROR(FIND("D",P18))))</f>
        <v>#NAME?</v>
      </c>
      <c r="X18" s="3" t="e">
        <f>IF(Q18=BLANK(),BLANK(),NOT(ISERROR(FIND("C",Q18))))</f>
        <v>#NAME?</v>
      </c>
      <c r="Y18" s="3" t="e">
        <f>IF(Q18=BLANK(),BLANK(),NOT(ISERROR(FIND("R",Q18))))</f>
        <v>#NAME?</v>
      </c>
      <c r="Z18" s="3" t="e">
        <f>IF(Q18=BLANK(),BLANK(),NOT(ISERROR(FIND("U",Q18))))</f>
        <v>#NAME?</v>
      </c>
      <c r="AA18" s="3" t="e">
        <f>IF(Q18=BLANK(),BLANK(),NOT(ISERROR(FIND("D",Q18))))</f>
        <v>#NAME?</v>
      </c>
      <c r="AB18" s="3" t="e">
        <f>IF(R18=BLANK(),BLANK(),NOT(ISERROR(FIND("C",R18))))</f>
        <v>#NAME?</v>
      </c>
      <c r="AC18" s="3" t="e">
        <f>IF(R18=BLANK(),BLANK(),NOT(ISERROR(FIND("R",R18))))</f>
        <v>#NAME?</v>
      </c>
      <c r="AD18" s="3" t="e">
        <f>IF(R18=BLANK(),BLANK(),NOT(ISERROR(FIND("U",R18))))</f>
        <v>#NAME?</v>
      </c>
      <c r="AE18" s="3" t="e">
        <f>IF(R18=BLANK(),BLANK(),NOT(ISERROR(FIND("D",R18))))</f>
        <v>#NAME?</v>
      </c>
      <c r="AF18" s="3" t="e">
        <f>IF(S18=BLANK(),BLANK(),NOT(ISERROR(FIND("C",S18))))</f>
        <v>#NAME?</v>
      </c>
      <c r="AG18" s="3" t="e">
        <f>IF(S18=BLANK(),BLANK(),NOT(ISERROR(FIND("R",S18))))</f>
        <v>#NAME?</v>
      </c>
      <c r="AH18" s="3" t="e">
        <f>IF(S18=BLANK(),BLANK(),NOT(ISERROR(FIND("U",S18))))</f>
        <v>#NAME?</v>
      </c>
      <c r="AI18" s="3" t="e">
        <f>IF(S18=BLANK(),BLANK(),NOT(ISERROR(FIND("D",S18))))</f>
        <v>#NAME?</v>
      </c>
      <c r="AJ18" s="4" t="e">
        <f>IF(G18=BLANK(), 0, LEN(H18) - LEN(SUBSTITUTE(H18, ".", "")))</f>
        <v>#NAME?</v>
      </c>
      <c r="AK18" s="3" t="str">
        <f>D18</f>
        <v>/admin</v>
      </c>
      <c r="AL18" s="3" t="str">
        <f>SUBSTITUTE(SUBSTITUTE(H18, ".", " "), "-", " ")</f>
        <v>admin</v>
      </c>
      <c r="AM18" s="3" t="str">
        <f>"/admin/routing/" &amp; A18</f>
        <v>/admin/routing/nav-admin</v>
      </c>
      <c r="AN18" s="6"/>
      <c r="AO18" s="2" t="s">
        <v>1284</v>
      </c>
      <c r="AP18" s="6"/>
      <c r="AQ18" s="2" t="s">
        <v>1284</v>
      </c>
      <c r="AR18" s="2"/>
    </row>
    <row r="19">
      <c r="A19" s="2" t="s">
        <v>1394</v>
      </c>
      <c r="B19" s="3" t="str">
        <f>SUBSTITUTE(LOWER(C19), " ", "-")</f>
        <v>harness</v>
      </c>
      <c r="C19" s="2" t="s">
        <v>1395</v>
      </c>
      <c r="D19" s="2" t="s">
        <v>1396</v>
      </c>
      <c r="E19" s="2" t="s">
        <v>1397</v>
      </c>
      <c r="F19" s="2">
        <v>91</v>
      </c>
      <c r="G19" s="2" t="s">
        <v>1392</v>
      </c>
      <c r="H19" s="2" t="s">
        <v>1398</v>
      </c>
      <c r="I19" s="2" t="s">
        <v>1290</v>
      </c>
      <c r="J19" s="2" t="s">
        <v>1392</v>
      </c>
      <c r="K19" s="2"/>
      <c r="L19" s="2"/>
      <c r="M19" s="2" t="s">
        <v>1399</v>
      </c>
      <c r="N19" s="2" t="b">
        <v>0</v>
      </c>
      <c r="O19" s="2" t="b">
        <v>0</v>
      </c>
      <c r="P19" s="2" t="s">
        <v>1282</v>
      </c>
      <c r="Q19" s="2" t="s">
        <v>243</v>
      </c>
      <c r="R19" s="2" t="s">
        <v>243</v>
      </c>
      <c r="S19" s="2" t="s">
        <v>243</v>
      </c>
      <c r="T19" s="3" t="e">
        <f>IF(P19=BLANK(),BLANK(),NOT(ISERROR(FIND("C",P19))))</f>
        <v>#NAME?</v>
      </c>
      <c r="U19" s="3" t="e">
        <f>IF(P19=BLANK(),BLANK(),NOT(ISERROR(FIND("R",P19))))</f>
        <v>#NAME?</v>
      </c>
      <c r="V19" s="3" t="e">
        <f>IF(P19=BLANK(),BLANK(),NOT(ISERROR(FIND("U",P19))))</f>
        <v>#NAME?</v>
      </c>
      <c r="W19" s="3" t="e">
        <f>IF(P19=BLANK(),BLANK(),NOT(ISERROR(FIND("D",P19))))</f>
        <v>#NAME?</v>
      </c>
      <c r="X19" s="3" t="e">
        <f>IF(Q19=BLANK(),BLANK(),NOT(ISERROR(FIND("C",Q19))))</f>
        <v>#NAME?</v>
      </c>
      <c r="Y19" s="3" t="e">
        <f>IF(Q19=BLANK(),BLANK(),NOT(ISERROR(FIND("R",Q19))))</f>
        <v>#NAME?</v>
      </c>
      <c r="Z19" s="3" t="e">
        <f>IF(Q19=BLANK(),BLANK(),NOT(ISERROR(FIND("U",Q19))))</f>
        <v>#NAME?</v>
      </c>
      <c r="AA19" s="3" t="e">
        <f>IF(Q19=BLANK(),BLANK(),NOT(ISERROR(FIND("D",Q19))))</f>
        <v>#NAME?</v>
      </c>
      <c r="AB19" s="3" t="e">
        <f>IF(R19=BLANK(),BLANK(),NOT(ISERROR(FIND("C",R19))))</f>
        <v>#NAME?</v>
      </c>
      <c r="AC19" s="3" t="e">
        <f>IF(R19=BLANK(),BLANK(),NOT(ISERROR(FIND("R",R19))))</f>
        <v>#NAME?</v>
      </c>
      <c r="AD19" s="3" t="e">
        <f>IF(R19=BLANK(),BLANK(),NOT(ISERROR(FIND("U",R19))))</f>
        <v>#NAME?</v>
      </c>
      <c r="AE19" s="3" t="e">
        <f>IF(R19=BLANK(),BLANK(),NOT(ISERROR(FIND("D",R19))))</f>
        <v>#NAME?</v>
      </c>
      <c r="AF19" s="3" t="e">
        <f>IF(S19=BLANK(),BLANK(),NOT(ISERROR(FIND("C",S19))))</f>
        <v>#NAME?</v>
      </c>
      <c r="AG19" s="3" t="e">
        <f>IF(S19=BLANK(),BLANK(),NOT(ISERROR(FIND("R",S19))))</f>
        <v>#NAME?</v>
      </c>
      <c r="AH19" s="3" t="e">
        <f>IF(S19=BLANK(),BLANK(),NOT(ISERROR(FIND("U",S19))))</f>
        <v>#NAME?</v>
      </c>
      <c r="AI19" s="3" t="e">
        <f>IF(S19=BLANK(),BLANK(),NOT(ISERROR(FIND("D",S19))))</f>
        <v>#NAME?</v>
      </c>
      <c r="AJ19" s="4" t="e">
        <f>IF(G19=BLANK(), 0, LEN(H19) - LEN(SUBSTITUTE(H19, ".", "")))</f>
        <v>#NAME?</v>
      </c>
      <c r="AK19" s="3" t="str">
        <f>D19</f>
        <v>/admin/harness</v>
      </c>
      <c r="AL19" s="3" t="str">
        <f>SUBSTITUTE(SUBSTITUTE(H19, ".", " "), "-", " ")</f>
        <v>admin harness</v>
      </c>
      <c r="AM19" s="3" t="str">
        <f>"/admin/routing/" &amp; A19</f>
        <v>/admin/routing/nav-admin-harness</v>
      </c>
      <c r="AN19" s="6"/>
      <c r="AO19" s="2" t="s">
        <v>1284</v>
      </c>
      <c r="AP19" s="6"/>
      <c r="AQ19" s="2" t="s">
        <v>1284</v>
      </c>
      <c r="AR19" s="2"/>
    </row>
    <row r="20">
      <c r="A20" s="2" t="s">
        <v>1400</v>
      </c>
      <c r="B20" s="3" t="str">
        <f>SUBSTITUTE(LOWER(C20), " ", "-")</f>
        <v>routing</v>
      </c>
      <c r="C20" s="2" t="s">
        <v>1401</v>
      </c>
      <c r="D20" s="2" t="s">
        <v>1402</v>
      </c>
      <c r="E20" s="2" t="s">
        <v>1403</v>
      </c>
      <c r="F20" s="2">
        <v>92</v>
      </c>
      <c r="G20" s="2" t="s">
        <v>1392</v>
      </c>
      <c r="H20" s="2" t="s">
        <v>1404</v>
      </c>
      <c r="I20" s="2" t="s">
        <v>1290</v>
      </c>
      <c r="J20" s="2" t="s">
        <v>1392</v>
      </c>
      <c r="K20" s="2" t="s">
        <v>1405</v>
      </c>
      <c r="L20" s="2" t="s">
        <v>1406</v>
      </c>
      <c r="M20" s="2" t="s">
        <v>1407</v>
      </c>
      <c r="N20" s="2" t="b">
        <v>0</v>
      </c>
      <c r="O20" s="2" t="b">
        <v>0</v>
      </c>
      <c r="P20" s="2" t="s">
        <v>1282</v>
      </c>
      <c r="Q20" s="2" t="s">
        <v>243</v>
      </c>
      <c r="R20" s="2" t="s">
        <v>243</v>
      </c>
      <c r="S20" s="2" t="s">
        <v>243</v>
      </c>
      <c r="T20" s="3" t="e">
        <f>IF(P20=BLANK(),BLANK(),NOT(ISERROR(FIND("C",P20))))</f>
        <v>#NAME?</v>
      </c>
      <c r="U20" s="3" t="e">
        <f>IF(P20=BLANK(),BLANK(),NOT(ISERROR(FIND("R",P20))))</f>
        <v>#NAME?</v>
      </c>
      <c r="V20" s="3" t="e">
        <f>IF(P20=BLANK(),BLANK(),NOT(ISERROR(FIND("U",P20))))</f>
        <v>#NAME?</v>
      </c>
      <c r="W20" s="3" t="e">
        <f>IF(P20=BLANK(),BLANK(),NOT(ISERROR(FIND("D",P20))))</f>
        <v>#NAME?</v>
      </c>
      <c r="X20" s="3" t="e">
        <f>IF(Q20=BLANK(),BLANK(),NOT(ISERROR(FIND("C",Q20))))</f>
        <v>#NAME?</v>
      </c>
      <c r="Y20" s="3" t="e">
        <f>IF(Q20=BLANK(),BLANK(),NOT(ISERROR(FIND("R",Q20))))</f>
        <v>#NAME?</v>
      </c>
      <c r="Z20" s="3" t="e">
        <f>IF(Q20=BLANK(),BLANK(),NOT(ISERROR(FIND("U",Q20))))</f>
        <v>#NAME?</v>
      </c>
      <c r="AA20" s="3" t="e">
        <f>IF(Q20=BLANK(),BLANK(),NOT(ISERROR(FIND("D",Q20))))</f>
        <v>#NAME?</v>
      </c>
      <c r="AB20" s="3" t="e">
        <f>IF(R20=BLANK(),BLANK(),NOT(ISERROR(FIND("C",R20))))</f>
        <v>#NAME?</v>
      </c>
      <c r="AC20" s="3" t="e">
        <f>IF(R20=BLANK(),BLANK(),NOT(ISERROR(FIND("R",R20))))</f>
        <v>#NAME?</v>
      </c>
      <c r="AD20" s="3" t="e">
        <f>IF(R20=BLANK(),BLANK(),NOT(ISERROR(FIND("U",R20))))</f>
        <v>#NAME?</v>
      </c>
      <c r="AE20" s="3" t="e">
        <f>IF(R20=BLANK(),BLANK(),NOT(ISERROR(FIND("D",R20))))</f>
        <v>#NAME?</v>
      </c>
      <c r="AF20" s="3" t="e">
        <f>IF(S20=BLANK(),BLANK(),NOT(ISERROR(FIND("C",S20))))</f>
        <v>#NAME?</v>
      </c>
      <c r="AG20" s="3" t="e">
        <f>IF(S20=BLANK(),BLANK(),NOT(ISERROR(FIND("R",S20))))</f>
        <v>#NAME?</v>
      </c>
      <c r="AH20" s="3" t="e">
        <f>IF(S20=BLANK(),BLANK(),NOT(ISERROR(FIND("U",S20))))</f>
        <v>#NAME?</v>
      </c>
      <c r="AI20" s="3" t="e">
        <f>IF(S20=BLANK(),BLANK(),NOT(ISERROR(FIND("D",S20))))</f>
        <v>#NAME?</v>
      </c>
      <c r="AJ20" s="4" t="e">
        <f>IF(G20=BLANK(), 0, LEN(H20) - LEN(SUBSTITUTE(H20, ".", "")))</f>
        <v>#NAME?</v>
      </c>
      <c r="AK20" s="3" t="str">
        <f>D20</f>
        <v>/admin/routing</v>
      </c>
      <c r="AL20" s="3" t="str">
        <f>SUBSTITUTE(SUBSTITUTE(H20, ".", " "), "-", " ")</f>
        <v>admin routing</v>
      </c>
      <c r="AM20" s="3" t="str">
        <f>"/admin/routing/" &amp; A20</f>
        <v>/admin/routing/nav-admin-routing</v>
      </c>
      <c r="AN20" s="6"/>
      <c r="AO20" s="2" t="s">
        <v>1284</v>
      </c>
      <c r="AP20" s="6"/>
      <c r="AQ20" s="2" t="s">
        <v>1284</v>
      </c>
      <c r="AR20" s="2"/>
    </row>
    <row r="21">
      <c r="A21" s="2" t="s">
        <v>1408</v>
      </c>
      <c r="B21" s="3" t="str">
        <f>SUBSTITUTE(LOWER(C21), " ", "-")</f>
        <v>state-machine</v>
      </c>
      <c r="C21" s="2" t="s">
        <v>1409</v>
      </c>
      <c r="D21" s="2" t="s">
        <v>1410</v>
      </c>
      <c r="E21" s="2" t="s">
        <v>1411</v>
      </c>
      <c r="F21" s="2">
        <v>93</v>
      </c>
      <c r="G21" s="2" t="s">
        <v>1392</v>
      </c>
      <c r="H21" s="2" t="s">
        <v>1412</v>
      </c>
      <c r="I21" s="2" t="s">
        <v>1290</v>
      </c>
      <c r="J21" s="2" t="s">
        <v>1392</v>
      </c>
      <c r="K21" s="2" t="s">
        <v>1413</v>
      </c>
      <c r="L21" s="2" t="s">
        <v>1414</v>
      </c>
      <c r="M21" s="2" t="s">
        <v>1415</v>
      </c>
      <c r="N21" s="2" t="b">
        <v>0</v>
      </c>
      <c r="O21" s="2" t="b">
        <v>0</v>
      </c>
      <c r="P21" s="2" t="s">
        <v>1282</v>
      </c>
      <c r="Q21" s="2" t="s">
        <v>243</v>
      </c>
      <c r="R21" s="2" t="s">
        <v>243</v>
      </c>
      <c r="S21" s="2" t="s">
        <v>243</v>
      </c>
      <c r="T21" s="3" t="e">
        <f>IF(P21=BLANK(),BLANK(),NOT(ISERROR(FIND("C",P21))))</f>
        <v>#NAME?</v>
      </c>
      <c r="U21" s="3" t="e">
        <f>IF(P21=BLANK(),BLANK(),NOT(ISERROR(FIND("R",P21))))</f>
        <v>#NAME?</v>
      </c>
      <c r="V21" s="3" t="e">
        <f>IF(P21=BLANK(),BLANK(),NOT(ISERROR(FIND("U",P21))))</f>
        <v>#NAME?</v>
      </c>
      <c r="W21" s="3" t="e">
        <f>IF(P21=BLANK(),BLANK(),NOT(ISERROR(FIND("D",P21))))</f>
        <v>#NAME?</v>
      </c>
      <c r="X21" s="3" t="e">
        <f>IF(Q21=BLANK(),BLANK(),NOT(ISERROR(FIND("C",Q21))))</f>
        <v>#NAME?</v>
      </c>
      <c r="Y21" s="3" t="e">
        <f>IF(Q21=BLANK(),BLANK(),NOT(ISERROR(FIND("R",Q21))))</f>
        <v>#NAME?</v>
      </c>
      <c r="Z21" s="3" t="e">
        <f>IF(Q21=BLANK(),BLANK(),NOT(ISERROR(FIND("U",Q21))))</f>
        <v>#NAME?</v>
      </c>
      <c r="AA21" s="3" t="e">
        <f>IF(Q21=BLANK(),BLANK(),NOT(ISERROR(FIND("D",Q21))))</f>
        <v>#NAME?</v>
      </c>
      <c r="AB21" s="3" t="e">
        <f>IF(R21=BLANK(),BLANK(),NOT(ISERROR(FIND("C",R21))))</f>
        <v>#NAME?</v>
      </c>
      <c r="AC21" s="3" t="e">
        <f>IF(R21=BLANK(),BLANK(),NOT(ISERROR(FIND("R",R21))))</f>
        <v>#NAME?</v>
      </c>
      <c r="AD21" s="3" t="e">
        <f>IF(R21=BLANK(),BLANK(),NOT(ISERROR(FIND("U",R21))))</f>
        <v>#NAME?</v>
      </c>
      <c r="AE21" s="3" t="e">
        <f>IF(R21=BLANK(),BLANK(),NOT(ISERROR(FIND("D",R21))))</f>
        <v>#NAME?</v>
      </c>
      <c r="AF21" s="3" t="e">
        <f>IF(S21=BLANK(),BLANK(),NOT(ISERROR(FIND("C",S21))))</f>
        <v>#NAME?</v>
      </c>
      <c r="AG21" s="3" t="e">
        <f>IF(S21=BLANK(),BLANK(),NOT(ISERROR(FIND("R",S21))))</f>
        <v>#NAME?</v>
      </c>
      <c r="AH21" s="3" t="e">
        <f>IF(S21=BLANK(),BLANK(),NOT(ISERROR(FIND("U",S21))))</f>
        <v>#NAME?</v>
      </c>
      <c r="AI21" s="3" t="e">
        <f>IF(S21=BLANK(),BLANK(),NOT(ISERROR(FIND("D",S21))))</f>
        <v>#NAME?</v>
      </c>
      <c r="AJ21" s="4" t="e">
        <f>IF(G21=BLANK(), 0, LEN(H21) - LEN(SUBSTITUTE(H21, ".", "")))</f>
        <v>#NAME?</v>
      </c>
      <c r="AK21" s="3" t="str">
        <f>D21</f>
        <v>/admin/state-machine</v>
      </c>
      <c r="AL21" s="3" t="str">
        <f>SUBSTITUTE(SUBSTITUTE(H21, ".", " "), "-", " ")</f>
        <v>admin state machine</v>
      </c>
      <c r="AM21" s="3" t="str">
        <f>"/admin/routing/" &amp; A21</f>
        <v>/admin/routing/nav-admin-state-machine</v>
      </c>
      <c r="AN21" s="6"/>
      <c r="AO21" s="2" t="s">
        <v>1284</v>
      </c>
      <c r="AP21" s="6"/>
      <c r="AQ21" s="2" t="s">
        <v>1284</v>
      </c>
      <c r="AR21" s="2"/>
    </row>
    <row r="22">
      <c r="A22" s="2" t="s">
        <v>1416</v>
      </c>
      <c r="B22" s="3" t="str">
        <f>SUBSTITUTE(LOWER(C22), " ", "-")</f>
        <v>explainer-dag</v>
      </c>
      <c r="C22" s="2" t="s">
        <v>1417</v>
      </c>
      <c r="D22" s="2" t="s">
        <v>1418</v>
      </c>
      <c r="E22" s="2" t="s">
        <v>1419</v>
      </c>
      <c r="F22" s="2">
        <v>94</v>
      </c>
      <c r="G22" s="2" t="s">
        <v>1392</v>
      </c>
      <c r="H22" s="2" t="s">
        <v>1420</v>
      </c>
      <c r="I22" s="2" t="s">
        <v>1290</v>
      </c>
      <c r="J22" s="2" t="s">
        <v>1392</v>
      </c>
      <c r="K22" s="2"/>
      <c r="L22" s="2"/>
      <c r="M22" s="2" t="s">
        <v>1421</v>
      </c>
      <c r="N22" s="2" t="b">
        <v>0</v>
      </c>
      <c r="O22" s="2" t="b">
        <v>0</v>
      </c>
      <c r="P22" s="2" t="s">
        <v>1282</v>
      </c>
      <c r="Q22" s="2" t="s">
        <v>243</v>
      </c>
      <c r="R22" s="2" t="s">
        <v>243</v>
      </c>
      <c r="S22" s="2" t="s">
        <v>243</v>
      </c>
      <c r="T22" s="3" t="e">
        <f>IF(P22=BLANK(),BLANK(),NOT(ISERROR(FIND("C",P22))))</f>
        <v>#NAME?</v>
      </c>
      <c r="U22" s="3" t="e">
        <f>IF(P22=BLANK(),BLANK(),NOT(ISERROR(FIND("R",P22))))</f>
        <v>#NAME?</v>
      </c>
      <c r="V22" s="3" t="e">
        <f>IF(P22=BLANK(),BLANK(),NOT(ISERROR(FIND("U",P22))))</f>
        <v>#NAME?</v>
      </c>
      <c r="W22" s="3" t="e">
        <f>IF(P22=BLANK(),BLANK(),NOT(ISERROR(FIND("D",P22))))</f>
        <v>#NAME?</v>
      </c>
      <c r="X22" s="3" t="e">
        <f>IF(Q22=BLANK(),BLANK(),NOT(ISERROR(FIND("C",Q22))))</f>
        <v>#NAME?</v>
      </c>
      <c r="Y22" s="3" t="e">
        <f>IF(Q22=BLANK(),BLANK(),NOT(ISERROR(FIND("R",Q22))))</f>
        <v>#NAME?</v>
      </c>
      <c r="Z22" s="3" t="e">
        <f>IF(Q22=BLANK(),BLANK(),NOT(ISERROR(FIND("U",Q22))))</f>
        <v>#NAME?</v>
      </c>
      <c r="AA22" s="3" t="e">
        <f>IF(Q22=BLANK(),BLANK(),NOT(ISERROR(FIND("D",Q22))))</f>
        <v>#NAME?</v>
      </c>
      <c r="AB22" s="3" t="e">
        <f>IF(R22=BLANK(),BLANK(),NOT(ISERROR(FIND("C",R22))))</f>
        <v>#NAME?</v>
      </c>
      <c r="AC22" s="3" t="e">
        <f>IF(R22=BLANK(),BLANK(),NOT(ISERROR(FIND("R",R22))))</f>
        <v>#NAME?</v>
      </c>
      <c r="AD22" s="3" t="e">
        <f>IF(R22=BLANK(),BLANK(),NOT(ISERROR(FIND("U",R22))))</f>
        <v>#NAME?</v>
      </c>
      <c r="AE22" s="3" t="e">
        <f>IF(R22=BLANK(),BLANK(),NOT(ISERROR(FIND("D",R22))))</f>
        <v>#NAME?</v>
      </c>
      <c r="AF22" s="3" t="e">
        <f>IF(S22=BLANK(),BLANK(),NOT(ISERROR(FIND("C",S22))))</f>
        <v>#NAME?</v>
      </c>
      <c r="AG22" s="3" t="e">
        <f>IF(S22=BLANK(),BLANK(),NOT(ISERROR(FIND("R",S22))))</f>
        <v>#NAME?</v>
      </c>
      <c r="AH22" s="3" t="e">
        <f>IF(S22=BLANK(),BLANK(),NOT(ISERROR(FIND("U",S22))))</f>
        <v>#NAME?</v>
      </c>
      <c r="AI22" s="3" t="e">
        <f>IF(S22=BLANK(),BLANK(),NOT(ISERROR(FIND("D",S22))))</f>
        <v>#NAME?</v>
      </c>
      <c r="AJ22" s="4" t="e">
        <f>IF(G22=BLANK(), 0, LEN(H22) - LEN(SUBSTITUTE(H22, ".", "")))</f>
        <v>#NAME?</v>
      </c>
      <c r="AK22" s="3" t="str">
        <f>D22</f>
        <v>/admin/explainer</v>
      </c>
      <c r="AL22" s="3" t="str">
        <f>SUBSTITUTE(SUBSTITUTE(H22, ".", " "), "-", " ")</f>
        <v>admin explainer</v>
      </c>
      <c r="AM22" s="3" t="str">
        <f>"/admin/routing/" &amp; A22</f>
        <v>/admin/routing/nav-admin-explainer</v>
      </c>
      <c r="AN22" s="6"/>
      <c r="AO22" s="2" t="s">
        <v>1284</v>
      </c>
      <c r="AP22" s="6"/>
      <c r="AQ22" s="2" t="s">
        <v>1284</v>
      </c>
      <c r="AR22" s="2"/>
    </row>
    <row r="23">
      <c r="A23" s="2" t="s">
        <v>1422</v>
      </c>
      <c r="B23" s="3" t="str">
        <f>SUBSTITUTE(LOWER(C23), " ", "-")</f>
        <v>owl-conformance</v>
      </c>
      <c r="C23" s="2" t="s">
        <v>1423</v>
      </c>
      <c r="D23" s="2" t="s">
        <v>1424</v>
      </c>
      <c r="E23" s="2" t="s">
        <v>1425</v>
      </c>
      <c r="F23" s="2">
        <v>3</v>
      </c>
      <c r="G23" s="2" t="s">
        <v>243</v>
      </c>
      <c r="H23" s="2" t="s">
        <v>1426</v>
      </c>
      <c r="I23" s="2" t="s">
        <v>1278</v>
      </c>
      <c r="J23" s="2" t="s">
        <v>1392</v>
      </c>
      <c r="K23" s="2"/>
      <c r="L23" s="2"/>
      <c r="M23" s="2" t="s">
        <v>1427</v>
      </c>
      <c r="N23" s="2" t="b">
        <v>0</v>
      </c>
      <c r="O23" s="2" t="b">
        <v>0</v>
      </c>
      <c r="P23" s="2" t="s">
        <v>1282</v>
      </c>
      <c r="Q23" s="2" t="s">
        <v>243</v>
      </c>
      <c r="R23" s="2" t="s">
        <v>243</v>
      </c>
      <c r="S23" s="2" t="s">
        <v>243</v>
      </c>
      <c r="T23" s="3" t="e">
        <f>IF(P23=BLANK(),BLANK(),NOT(ISERROR(FIND("C",P23))))</f>
        <v>#NAME?</v>
      </c>
      <c r="U23" s="3" t="e">
        <f>IF(P23=BLANK(),BLANK(),NOT(ISERROR(FIND("R",P23))))</f>
        <v>#NAME?</v>
      </c>
      <c r="V23" s="3" t="e">
        <f>IF(P23=BLANK(),BLANK(),NOT(ISERROR(FIND("U",P23))))</f>
        <v>#NAME?</v>
      </c>
      <c r="W23" s="3" t="e">
        <f>IF(P23=BLANK(),BLANK(),NOT(ISERROR(FIND("D",P23))))</f>
        <v>#NAME?</v>
      </c>
      <c r="X23" s="3" t="e">
        <f>IF(Q23=BLANK(),BLANK(),NOT(ISERROR(FIND("C",Q23))))</f>
        <v>#NAME?</v>
      </c>
      <c r="Y23" s="3" t="e">
        <f>IF(Q23=BLANK(),BLANK(),NOT(ISERROR(FIND("R",Q23))))</f>
        <v>#NAME?</v>
      </c>
      <c r="Z23" s="3" t="e">
        <f>IF(Q23=BLANK(),BLANK(),NOT(ISERROR(FIND("U",Q23))))</f>
        <v>#NAME?</v>
      </c>
      <c r="AA23" s="3" t="e">
        <f>IF(Q23=BLANK(),BLANK(),NOT(ISERROR(FIND("D",Q23))))</f>
        <v>#NAME?</v>
      </c>
      <c r="AB23" s="3" t="e">
        <f>IF(R23=BLANK(),BLANK(),NOT(ISERROR(FIND("C",R23))))</f>
        <v>#NAME?</v>
      </c>
      <c r="AC23" s="3" t="e">
        <f>IF(R23=BLANK(),BLANK(),NOT(ISERROR(FIND("R",R23))))</f>
        <v>#NAME?</v>
      </c>
      <c r="AD23" s="3" t="e">
        <f>IF(R23=BLANK(),BLANK(),NOT(ISERROR(FIND("U",R23))))</f>
        <v>#NAME?</v>
      </c>
      <c r="AE23" s="3" t="e">
        <f>IF(R23=BLANK(),BLANK(),NOT(ISERROR(FIND("D",R23))))</f>
        <v>#NAME?</v>
      </c>
      <c r="AF23" s="3" t="e">
        <f>IF(S23=BLANK(),BLANK(),NOT(ISERROR(FIND("C",S23))))</f>
        <v>#NAME?</v>
      </c>
      <c r="AG23" s="3" t="e">
        <f>IF(S23=BLANK(),BLANK(),NOT(ISERROR(FIND("R",S23))))</f>
        <v>#NAME?</v>
      </c>
      <c r="AH23" s="3" t="e">
        <f>IF(S23=BLANK(),BLANK(),NOT(ISERROR(FIND("U",S23))))</f>
        <v>#NAME?</v>
      </c>
      <c r="AI23" s="3" t="e">
        <f>IF(S23=BLANK(),BLANK(),NOT(ISERROR(FIND("D",S23))))</f>
        <v>#NAME?</v>
      </c>
      <c r="AJ23" s="4" t="e">
        <f>IF(G23=BLANK(), 0, LEN(H23) - LEN(SUBSTITUTE(H23, ".", "")))</f>
        <v>#NAME?</v>
      </c>
      <c r="AK23" s="3" t="str">
        <f>D23</f>
        <v>/admin/owl</v>
      </c>
      <c r="AL23" s="3" t="str">
        <f>SUBSTITUTE(SUBSTITUTE(H23, ".", " "), "-", " ")</f>
        <v>admin owl</v>
      </c>
      <c r="AM23" s="3" t="str">
        <f>"/admin/routing/" &amp; A23</f>
        <v>/admin/routing/nav-admin-owl</v>
      </c>
      <c r="AN23" s="6"/>
      <c r="AO23" s="2" t="s">
        <v>1284</v>
      </c>
      <c r="AP23" s="6"/>
      <c r="AQ23" s="2" t="s">
        <v>1284</v>
      </c>
      <c r="AR23" s="2"/>
    </row>
    <row r="24">
      <c r="A24" s="2" t="s">
        <v>1428</v>
      </c>
      <c r="B24" s="3" t="str">
        <f>SUBSTITUTE(LOWER(C24), " ", "-")</f>
        <v>cohort-discovery</v>
      </c>
      <c r="C24" s="2" t="s">
        <v>1429</v>
      </c>
      <c r="D24" s="2" t="s">
        <v>1430</v>
      </c>
      <c r="E24" s="2" t="s">
        <v>1431</v>
      </c>
      <c r="F24" s="2">
        <v>5</v>
      </c>
      <c r="G24" s="2" t="s">
        <v>243</v>
      </c>
      <c r="H24" s="2" t="s">
        <v>1432</v>
      </c>
      <c r="I24" s="2" t="s">
        <v>1278</v>
      </c>
      <c r="J24" s="2" t="s">
        <v>1433</v>
      </c>
      <c r="K24" s="2" t="s">
        <v>10</v>
      </c>
      <c r="L24" s="2" t="s">
        <v>1326</v>
      </c>
      <c r="M24" s="2" t="s">
        <v>1434</v>
      </c>
      <c r="N24" s="2" t="b">
        <v>0</v>
      </c>
      <c r="O24" s="2" t="b">
        <v>0</v>
      </c>
      <c r="P24" s="2" t="s">
        <v>1282</v>
      </c>
      <c r="Q24" s="2" t="s">
        <v>243</v>
      </c>
      <c r="R24" s="2" t="s">
        <v>243</v>
      </c>
      <c r="S24" s="2" t="s">
        <v>243</v>
      </c>
      <c r="T24" s="3" t="e">
        <f>IF(P24=BLANK(),BLANK(),NOT(ISERROR(FIND("C",P24))))</f>
        <v>#NAME?</v>
      </c>
      <c r="U24" s="3" t="e">
        <f>IF(P24=BLANK(),BLANK(),NOT(ISERROR(FIND("R",P24))))</f>
        <v>#NAME?</v>
      </c>
      <c r="V24" s="3" t="e">
        <f>IF(P24=BLANK(),BLANK(),NOT(ISERROR(FIND("U",P24))))</f>
        <v>#NAME?</v>
      </c>
      <c r="W24" s="3" t="e">
        <f>IF(P24=BLANK(),BLANK(),NOT(ISERROR(FIND("D",P24))))</f>
        <v>#NAME?</v>
      </c>
      <c r="X24" s="3" t="e">
        <f>IF(Q24=BLANK(),BLANK(),NOT(ISERROR(FIND("C",Q24))))</f>
        <v>#NAME?</v>
      </c>
      <c r="Y24" s="3" t="e">
        <f>IF(Q24=BLANK(),BLANK(),NOT(ISERROR(FIND("R",Q24))))</f>
        <v>#NAME?</v>
      </c>
      <c r="Z24" s="3" t="e">
        <f>IF(Q24=BLANK(),BLANK(),NOT(ISERROR(FIND("U",Q24))))</f>
        <v>#NAME?</v>
      </c>
      <c r="AA24" s="3" t="e">
        <f>IF(Q24=BLANK(),BLANK(),NOT(ISERROR(FIND("D",Q24))))</f>
        <v>#NAME?</v>
      </c>
      <c r="AB24" s="3" t="e">
        <f>IF(R24=BLANK(),BLANK(),NOT(ISERROR(FIND("C",R24))))</f>
        <v>#NAME?</v>
      </c>
      <c r="AC24" s="3" t="e">
        <f>IF(R24=BLANK(),BLANK(),NOT(ISERROR(FIND("R",R24))))</f>
        <v>#NAME?</v>
      </c>
      <c r="AD24" s="3" t="e">
        <f>IF(R24=BLANK(),BLANK(),NOT(ISERROR(FIND("U",R24))))</f>
        <v>#NAME?</v>
      </c>
      <c r="AE24" s="3" t="e">
        <f>IF(R24=BLANK(),BLANK(),NOT(ISERROR(FIND("D",R24))))</f>
        <v>#NAME?</v>
      </c>
      <c r="AF24" s="3" t="e">
        <f>IF(S24=BLANK(),BLANK(),NOT(ISERROR(FIND("C",S24))))</f>
        <v>#NAME?</v>
      </c>
      <c r="AG24" s="3" t="e">
        <f>IF(S24=BLANK(),BLANK(),NOT(ISERROR(FIND("R",S24))))</f>
        <v>#NAME?</v>
      </c>
      <c r="AH24" s="3" t="e">
        <f>IF(S24=BLANK(),BLANK(),NOT(ISERROR(FIND("U",S24))))</f>
        <v>#NAME?</v>
      </c>
      <c r="AI24" s="3" t="e">
        <f>IF(S24=BLANK(),BLANK(),NOT(ISERROR(FIND("D",S24))))</f>
        <v>#NAME?</v>
      </c>
      <c r="AJ24" s="4" t="e">
        <f>IF(G24=BLANK(), 0, LEN(H24) - LEN(SUBSTITUTE(H24, ".", "")))</f>
        <v>#NAME?</v>
      </c>
      <c r="AK24" s="3" t="str">
        <f>D24</f>
        <v>/cohort</v>
      </c>
      <c r="AL24" s="3" t="str">
        <f>SUBSTITUTE(SUBSTITUTE(H24, ".", " "), "-", " ")</f>
        <v>admin cohort</v>
      </c>
      <c r="AM24" s="3" t="str">
        <f>"/admin/routing/" &amp; A24</f>
        <v>/admin/routing/nav-admin-cohort</v>
      </c>
      <c r="AN24" s="6"/>
      <c r="AO24" s="2" t="s">
        <v>1284</v>
      </c>
      <c r="AP24" s="6"/>
      <c r="AQ24" s="2" t="s">
        <v>1284</v>
      </c>
      <c r="AR24" s="2"/>
    </row>
    <row r="25">
      <c r="A25" s="2" t="s">
        <v>1435</v>
      </c>
      <c r="B25" s="3" t="str">
        <f>SUBSTITUTE(LOWER(C25), " ", "-")</f>
        <v>effortless-loops</v>
      </c>
      <c r="C25" s="2" t="s">
        <v>1436</v>
      </c>
      <c r="D25" s="2" t="s">
        <v>1437</v>
      </c>
      <c r="E25" s="2" t="s">
        <v>1438</v>
      </c>
      <c r="F25" s="2">
        <v>96</v>
      </c>
      <c r="G25" s="2" t="s">
        <v>1392</v>
      </c>
      <c r="H25" s="2" t="s">
        <v>1439</v>
      </c>
      <c r="I25" s="2" t="s">
        <v>1290</v>
      </c>
      <c r="J25" s="2" t="s">
        <v>1392</v>
      </c>
      <c r="K25" s="2" t="s">
        <v>1440</v>
      </c>
      <c r="L25" s="2" t="s">
        <v>1441</v>
      </c>
      <c r="M25" s="2" t="s">
        <v>1442</v>
      </c>
      <c r="N25" s="2" t="b">
        <v>0</v>
      </c>
      <c r="O25" s="2" t="b">
        <v>0</v>
      </c>
      <c r="P25" s="2" t="s">
        <v>1282</v>
      </c>
      <c r="Q25" s="2" t="s">
        <v>243</v>
      </c>
      <c r="R25" s="2" t="s">
        <v>243</v>
      </c>
      <c r="S25" s="2" t="s">
        <v>243</v>
      </c>
      <c r="T25" s="3" t="e">
        <f>IF(P25=BLANK(),BLANK(),NOT(ISERROR(FIND("C",P25))))</f>
        <v>#NAME?</v>
      </c>
      <c r="U25" s="3" t="e">
        <f>IF(P25=BLANK(),BLANK(),NOT(ISERROR(FIND("R",P25))))</f>
        <v>#NAME?</v>
      </c>
      <c r="V25" s="3" t="e">
        <f>IF(P25=BLANK(),BLANK(),NOT(ISERROR(FIND("U",P25))))</f>
        <v>#NAME?</v>
      </c>
      <c r="W25" s="3" t="e">
        <f>IF(P25=BLANK(),BLANK(),NOT(ISERROR(FIND("D",P25))))</f>
        <v>#NAME?</v>
      </c>
      <c r="X25" s="3" t="e">
        <f>IF(Q25=BLANK(),BLANK(),NOT(ISERROR(FIND("C",Q25))))</f>
        <v>#NAME?</v>
      </c>
      <c r="Y25" s="3" t="e">
        <f>IF(Q25=BLANK(),BLANK(),NOT(ISERROR(FIND("R",Q25))))</f>
        <v>#NAME?</v>
      </c>
      <c r="Z25" s="3" t="e">
        <f>IF(Q25=BLANK(),BLANK(),NOT(ISERROR(FIND("U",Q25))))</f>
        <v>#NAME?</v>
      </c>
      <c r="AA25" s="3" t="e">
        <f>IF(Q25=BLANK(),BLANK(),NOT(ISERROR(FIND("D",Q25))))</f>
        <v>#NAME?</v>
      </c>
      <c r="AB25" s="3" t="e">
        <f>IF(R25=BLANK(),BLANK(),NOT(ISERROR(FIND("C",R25))))</f>
        <v>#NAME?</v>
      </c>
      <c r="AC25" s="3" t="e">
        <f>IF(R25=BLANK(),BLANK(),NOT(ISERROR(FIND("R",R25))))</f>
        <v>#NAME?</v>
      </c>
      <c r="AD25" s="3" t="e">
        <f>IF(R25=BLANK(),BLANK(),NOT(ISERROR(FIND("U",R25))))</f>
        <v>#NAME?</v>
      </c>
      <c r="AE25" s="3" t="e">
        <f>IF(R25=BLANK(),BLANK(),NOT(ISERROR(FIND("D",R25))))</f>
        <v>#NAME?</v>
      </c>
      <c r="AF25" s="3" t="e">
        <f>IF(S25=BLANK(),BLANK(),NOT(ISERROR(FIND("C",S25))))</f>
        <v>#NAME?</v>
      </c>
      <c r="AG25" s="3" t="e">
        <f>IF(S25=BLANK(),BLANK(),NOT(ISERROR(FIND("R",S25))))</f>
        <v>#NAME?</v>
      </c>
      <c r="AH25" s="3" t="e">
        <f>IF(S25=BLANK(),BLANK(),NOT(ISERROR(FIND("U",S25))))</f>
        <v>#NAME?</v>
      </c>
      <c r="AI25" s="3" t="e">
        <f>IF(S25=BLANK(),BLANK(),NOT(ISERROR(FIND("D",S25))))</f>
        <v>#NAME?</v>
      </c>
      <c r="AJ25" s="4" t="e">
        <f>IF(G25=BLANK(), 0, LEN(H25) - LEN(SUBSTITUTE(H25, ".", "")))</f>
        <v>#NAME?</v>
      </c>
      <c r="AK25" s="3" t="str">
        <f>D25</f>
        <v>/admin/loops</v>
      </c>
      <c r="AL25" s="3" t="str">
        <f>SUBSTITUTE(SUBSTITUTE(H25, ".", " "), "-", " ")</f>
        <v>admin loops</v>
      </c>
      <c r="AM25" s="3" t="str">
        <f>"/admin/routing/" &amp; A25</f>
        <v>/admin/routing/nav-admin-loops</v>
      </c>
      <c r="AN25" s="6"/>
      <c r="AO25" s="2" t="s">
        <v>1284</v>
      </c>
      <c r="AP25" s="6"/>
      <c r="AQ25" s="2" t="s">
        <v>1284</v>
      </c>
      <c r="AR25" s="2"/>
    </row>
  </sheetData>
  <autoFilter ref="A1:AR1"/>
  <headerFooter/>
  <legacyDrawing r:id="rId1"/>
</worksheet>
</file>

<file path=xl/worksheets/sheet3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3"/>
  <sheetViews>
    <sheetView workbookViewId="0">
      <pane ySplit="1" topLeftCell="A2" state="frozen" activePane="bottomLeft"/>
      <selection pane="bottomLeft" activeCell="A1" sqref="A1"/>
    </sheetView>
  </sheetViews>
  <sheetFormatPr defaultRowHeight="15"/>
  <cols>
    <col min="1" max="1" width="26.3172664642334" customWidth="1"/>
    <col min="2" max="2" width="26.3172664642334" customWidth="1"/>
    <col min="3" max="3" width="47.78470230102539" customWidth="1"/>
    <col min="4" max="4" width="26.866052627563477" customWidth="1"/>
    <col min="5" max="5" width="256" customWidth="1"/>
    <col min="6" max="6" width="20.728328704833984" customWidth="1"/>
    <col min="7" max="7" width="28.119138717651367" customWidth="1"/>
    <col min="8" max="8" width="17.443378448486328" customWidth="1"/>
    <col min="9" max="9" width="20.767593383789062" customWidth="1"/>
    <col min="10" max="10" width="17.443378448486328" customWidth="1"/>
    <col min="11" max="11" width="17.443378448486328" customWidth="1"/>
    <col min="12" max="12" width="20.593856811523438" customWidth="1"/>
    <col min="13" max="13" width="24.629854202270508" customWidth="1"/>
    <col min="14" max="14" width="17.443378448486328" customWidth="1"/>
    <col min="15" max="15" width="24.629854202270508" customWidth="1"/>
    <col min="16" max="16" width="17.443378448486328" customWidth="1"/>
    <col min="17" max="17" width="17.443378448486328" customWidth="1"/>
  </cols>
  <sheetData>
    <row r="1">
      <c r="A1" s="1" t="s">
        <v>1443</v>
      </c>
      <c r="B1" s="1" t="s">
        <v>3</v>
      </c>
      <c r="C1" s="1" t="s">
        <v>4</v>
      </c>
      <c r="D1" s="1" t="s">
        <v>843</v>
      </c>
      <c r="E1" s="1" t="s">
        <v>845</v>
      </c>
      <c r="F1" s="1" t="s">
        <v>1444</v>
      </c>
      <c r="G1" s="1" t="s">
        <v>1445</v>
      </c>
      <c r="H1" s="1" t="s">
        <v>1446</v>
      </c>
      <c r="I1" s="1" t="s">
        <v>1447</v>
      </c>
      <c r="J1" s="1" t="s">
        <v>1448</v>
      </c>
      <c r="K1" s="1" t="s">
        <v>1449</v>
      </c>
      <c r="L1" s="1" t="s">
        <v>1450</v>
      </c>
      <c r="M1" s="1" t="s">
        <v>1268</v>
      </c>
      <c r="N1" s="1" t="s">
        <v>1269</v>
      </c>
      <c r="O1" s="1" t="s">
        <v>1270</v>
      </c>
      <c r="P1" s="1" t="s">
        <v>1271</v>
      </c>
      <c r="Q1" s="1" t="s">
        <v>1272</v>
      </c>
    </row>
    <row r="2">
      <c r="A2" s="2" t="s">
        <v>1451</v>
      </c>
      <c r="B2" s="3" t="str">
        <f>A2</f>
        <v>diagnosis-lifecycle</v>
      </c>
      <c r="C2" s="3" t="str">
        <f>"/admin/state-machine/" &amp; A2</f>
        <v>/admin/state-machine/diagnosis-lifecycle</v>
      </c>
      <c r="D2" s="2" t="s">
        <v>1452</v>
      </c>
      <c r="E2" s="2" t="s">
        <v>1453</v>
      </c>
      <c r="F2" s="2" t="s">
        <v>10</v>
      </c>
      <c r="G2" s="2" t="s">
        <v>625</v>
      </c>
      <c r="H2" s="2"/>
      <c r="I2" s="2"/>
      <c r="J2" s="2"/>
      <c r="K2" s="3">
        <f>COUNTIFS(MachineStates!D2:D999, A2)</f>
        <v>7</v>
      </c>
      <c r="L2" s="3">
        <f>COUNTIFS(StateTransitionRules!D2:D999, A2)</f>
        <v>9</v>
      </c>
      <c r="M2" s="6"/>
      <c r="N2" s="2" t="s">
        <v>1284</v>
      </c>
      <c r="O2" s="6"/>
      <c r="P2" s="2" t="s">
        <v>1284</v>
      </c>
      <c r="Q2" s="2"/>
    </row>
    <row r="3">
      <c r="A3" s="2" t="s">
        <v>1454</v>
      </c>
      <c r="B3" s="3" t="str">
        <f>A3</f>
        <v>lupus-nephritis-progression</v>
      </c>
      <c r="C3" s="3" t="str">
        <f>"/admin/state-machine/" &amp; A3</f>
        <v>/admin/state-machine/lupus-nephritis-progression</v>
      </c>
      <c r="D3" s="2" t="s">
        <v>1455</v>
      </c>
      <c r="E3" s="2" t="s">
        <v>1456</v>
      </c>
      <c r="F3" s="2" t="s">
        <v>73</v>
      </c>
      <c r="G3" s="2" t="s">
        <v>137</v>
      </c>
      <c r="H3" s="2"/>
      <c r="I3" s="2"/>
      <c r="J3" s="2"/>
      <c r="K3" s="3">
        <f>COUNTIFS(MachineStates!D2:D999, A3)</f>
        <v>6</v>
      </c>
      <c r="L3" s="3">
        <f>COUNTIFS(StateTransitionRules!D2:D999, A3)</f>
        <v>5</v>
      </c>
      <c r="M3" s="6">
        <v>46193</v>
      </c>
      <c r="N3" s="2" t="s">
        <v>1457</v>
      </c>
      <c r="O3" s="6">
        <v>46193</v>
      </c>
      <c r="P3" s="2" t="s">
        <v>1457</v>
      </c>
      <c r="Q3" s="2" t="s">
        <v>1458</v>
      </c>
    </row>
  </sheetData>
  <autoFilter ref="A1:Q1"/>
  <headerFooter/>
  <legacyDrawing r:id="rId1"/>
</worksheet>
</file>

<file path=xl/worksheets/sheet3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14"/>
  <sheetViews>
    <sheetView workbookViewId="0">
      <pane ySplit="1" topLeftCell="A2" state="frozen" activePane="bottomLeft"/>
      <selection pane="bottomLeft" activeCell="A1" sqref="A1"/>
    </sheetView>
  </sheetViews>
  <sheetFormatPr defaultRowHeight="15"/>
  <cols>
    <col min="1" max="1" width="55.97280502319336" customWidth="1"/>
    <col min="2" max="2" width="55.97280502319336" customWidth="1"/>
    <col min="3" max="3" width="84.29683685302734" customWidth="1"/>
    <col min="4" max="4" width="26.3172664642334" customWidth="1"/>
    <col min="5" max="5" width="28.873071670532227" customWidth="1"/>
    <col min="6" max="6" width="53.56633377075195" customWidth="1"/>
    <col min="7" max="7" width="17.443378448486328" customWidth="1"/>
    <col min="8" max="8" width="17.443378448486328" customWidth="1"/>
    <col min="9" max="9" width="17.443378448486328" customWidth="1"/>
    <col min="10" max="10" width="20.84724235534668" customWidth="1"/>
    <col min="11" max="11" width="18.418264389038086" customWidth="1"/>
    <col min="12" max="12" width="24.629854202270508" customWidth="1"/>
    <col min="13" max="13" width="17.443378448486328" customWidth="1"/>
    <col min="14" max="14" width="24.629854202270508" customWidth="1"/>
    <col min="15" max="15" width="17.443378448486328" customWidth="1"/>
    <col min="16" max="16" width="17.443378448486328" customWidth="1"/>
    <col min="17" max="17" width="21.485353469848633" customWidth="1"/>
  </cols>
  <sheetData>
    <row r="1">
      <c r="A1" s="1" t="s">
        <v>1459</v>
      </c>
      <c r="B1" s="1" t="s">
        <v>3</v>
      </c>
      <c r="C1" s="1" t="s">
        <v>4</v>
      </c>
      <c r="D1" s="1" t="s">
        <v>1460</v>
      </c>
      <c r="E1" s="1" t="s">
        <v>1461</v>
      </c>
      <c r="F1" s="1" t="s">
        <v>843</v>
      </c>
      <c r="G1" s="1" t="s">
        <v>1462</v>
      </c>
      <c r="H1" s="1" t="s">
        <v>1463</v>
      </c>
      <c r="I1" s="1" t="s">
        <v>1464</v>
      </c>
      <c r="J1" s="1" t="s">
        <v>1465</v>
      </c>
      <c r="K1" s="1" t="s">
        <v>1466</v>
      </c>
      <c r="L1" s="1" t="s">
        <v>1268</v>
      </c>
      <c r="M1" s="1" t="s">
        <v>1269</v>
      </c>
      <c r="N1" s="1" t="s">
        <v>1270</v>
      </c>
      <c r="O1" s="1" t="s">
        <v>1271</v>
      </c>
      <c r="P1" s="1" t="s">
        <v>1272</v>
      </c>
      <c r="Q1" s="1" t="s">
        <v>1467</v>
      </c>
    </row>
    <row r="2">
      <c r="A2" s="2" t="s">
        <v>1468</v>
      </c>
      <c r="B2" s="3" t="str">
        <f>A2</f>
        <v>diagnosis-lifecycle--intake</v>
      </c>
      <c r="C2" s="3" t="str">
        <f>"/admin/state-machine/states/" &amp; A2</f>
        <v>/admin/state-machine/states/diagnosis-lifecycle--intake</v>
      </c>
      <c r="D2" s="2" t="s">
        <v>1451</v>
      </c>
      <c r="E2" s="2" t="s">
        <v>1274</v>
      </c>
      <c r="F2" s="2" t="s">
        <v>1274</v>
      </c>
      <c r="G2" s="2">
        <v>1</v>
      </c>
      <c r="H2" s="2" t="b">
        <v>1</v>
      </c>
      <c r="I2" s="2" t="b">
        <v>0</v>
      </c>
      <c r="J2" s="2"/>
      <c r="K2" s="2"/>
      <c r="L2" s="6"/>
      <c r="M2" s="2" t="s">
        <v>1284</v>
      </c>
      <c r="N2" s="6"/>
      <c r="O2" s="2" t="s">
        <v>1284</v>
      </c>
      <c r="P2" s="2"/>
      <c r="Q2" s="4" t="e">
        <f>COUNTIFS(vw_state_transition_rules_closure!{{FromId}}, A2)</f>
        <v>#VALUE!</v>
      </c>
    </row>
    <row r="3">
      <c r="A3" s="2" t="s">
        <v>1469</v>
      </c>
      <c r="B3" s="3" t="str">
        <f>A3</f>
        <v>diagnosis-lifecycle--evidenceassessed</v>
      </c>
      <c r="C3" s="3" t="str">
        <f>"/admin/state-machine/states/" &amp; A3</f>
        <v>/admin/state-machine/states/diagnosis-lifecycle--evidenceassessed</v>
      </c>
      <c r="D3" s="2" t="s">
        <v>1451</v>
      </c>
      <c r="E3" s="2" t="s">
        <v>1470</v>
      </c>
      <c r="F3" s="2" t="s">
        <v>1470</v>
      </c>
      <c r="G3" s="2">
        <v>2</v>
      </c>
      <c r="H3" s="2" t="b">
        <v>0</v>
      </c>
      <c r="I3" s="2" t="b">
        <v>0</v>
      </c>
      <c r="J3" s="2"/>
      <c r="K3" s="2"/>
      <c r="L3" s="6"/>
      <c r="M3" s="2" t="s">
        <v>1284</v>
      </c>
      <c r="N3" s="6"/>
      <c r="O3" s="2" t="s">
        <v>1284</v>
      </c>
      <c r="P3" s="2"/>
      <c r="Q3" s="4" t="e">
        <f>COUNTIFS(vw_state_transition_rules_closure!{{FromId}}, A3)</f>
        <v>#VALUE!</v>
      </c>
    </row>
    <row r="4">
      <c r="A4" s="2" t="s">
        <v>1471</v>
      </c>
      <c r="B4" s="3" t="str">
        <f>A4</f>
        <v>diagnosis-lifecycle--mechanismconfirmed</v>
      </c>
      <c r="C4" s="3" t="str">
        <f>"/admin/state-machine/states/" &amp; A4</f>
        <v>/admin/state-machine/states/diagnosis-lifecycle--mechanismconfirmed</v>
      </c>
      <c r="D4" s="2" t="s">
        <v>1451</v>
      </c>
      <c r="E4" s="2" t="s">
        <v>1472</v>
      </c>
      <c r="F4" s="2" t="s">
        <v>1472</v>
      </c>
      <c r="G4" s="2">
        <v>3</v>
      </c>
      <c r="H4" s="2" t="b">
        <v>0</v>
      </c>
      <c r="I4" s="2" t="b">
        <v>0</v>
      </c>
      <c r="J4" s="2"/>
      <c r="K4" s="2"/>
      <c r="L4" s="6"/>
      <c r="M4" s="2" t="s">
        <v>1284</v>
      </c>
      <c r="N4" s="6"/>
      <c r="O4" s="2" t="s">
        <v>1284</v>
      </c>
      <c r="P4" s="2"/>
      <c r="Q4" s="4" t="e">
        <f>COUNTIFS(vw_state_transition_rules_closure!{{FromId}}, A4)</f>
        <v>#VALUE!</v>
      </c>
    </row>
    <row r="5">
      <c r="A5" s="2" t="s">
        <v>1473</v>
      </c>
      <c r="B5" s="3" t="str">
        <f>A5</f>
        <v>diagnosis-lifecycle--calibrationchecked</v>
      </c>
      <c r="C5" s="3" t="str">
        <f>"/admin/state-machine/states/" &amp; A5</f>
        <v>/admin/state-machine/states/diagnosis-lifecycle--calibrationchecked</v>
      </c>
      <c r="D5" s="2" t="s">
        <v>1451</v>
      </c>
      <c r="E5" s="2" t="s">
        <v>1474</v>
      </c>
      <c r="F5" s="2" t="s">
        <v>1474</v>
      </c>
      <c r="G5" s="2">
        <v>4</v>
      </c>
      <c r="H5" s="2" t="b">
        <v>0</v>
      </c>
      <c r="I5" s="2" t="b">
        <v>0</v>
      </c>
      <c r="J5" s="2"/>
      <c r="K5" s="2"/>
      <c r="L5" s="6"/>
      <c r="M5" s="2" t="s">
        <v>1284</v>
      </c>
      <c r="N5" s="6"/>
      <c r="O5" s="2" t="s">
        <v>1284</v>
      </c>
      <c r="P5" s="2"/>
      <c r="Q5" s="4" t="e">
        <f>COUNTIFS(vw_state_transition_rules_closure!{{FromId}}, A5)</f>
        <v>#VALUE!</v>
      </c>
    </row>
    <row r="6">
      <c r="A6" s="2" t="s">
        <v>1475</v>
      </c>
      <c r="B6" s="3" t="str">
        <f>A6</f>
        <v>diagnosis-lifecycle--transportchecked</v>
      </c>
      <c r="C6" s="3" t="str">
        <f>"/admin/state-machine/states/" &amp; A6</f>
        <v>/admin/state-machine/states/diagnosis-lifecycle--transportchecked</v>
      </c>
      <c r="D6" s="2" t="s">
        <v>1451</v>
      </c>
      <c r="E6" s="2" t="s">
        <v>1476</v>
      </c>
      <c r="F6" s="2" t="s">
        <v>1476</v>
      </c>
      <c r="G6" s="2">
        <v>5</v>
      </c>
      <c r="H6" s="2" t="b">
        <v>0</v>
      </c>
      <c r="I6" s="2" t="b">
        <v>0</v>
      </c>
      <c r="J6" s="2"/>
      <c r="K6" s="2"/>
      <c r="L6" s="6"/>
      <c r="M6" s="2" t="s">
        <v>1284</v>
      </c>
      <c r="N6" s="6"/>
      <c r="O6" s="2" t="s">
        <v>1284</v>
      </c>
      <c r="P6" s="2"/>
      <c r="Q6" s="4" t="e">
        <f>COUNTIFS(vw_state_transition_rules_closure!{{FromId}}, A6)</f>
        <v>#VALUE!</v>
      </c>
    </row>
    <row r="7">
      <c r="A7" s="2" t="s">
        <v>1477</v>
      </c>
      <c r="B7" s="3" t="str">
        <f>A7</f>
        <v>diagnosis-lifecycle--actionable</v>
      </c>
      <c r="C7" s="3" t="str">
        <f>"/admin/state-machine/states/" &amp; A7</f>
        <v>/admin/state-machine/states/diagnosis-lifecycle--actionable</v>
      </c>
      <c r="D7" s="2" t="s">
        <v>1451</v>
      </c>
      <c r="E7" s="2" t="s">
        <v>1478</v>
      </c>
      <c r="F7" s="2" t="s">
        <v>1478</v>
      </c>
      <c r="G7" s="2">
        <v>6</v>
      </c>
      <c r="H7" s="2" t="b">
        <v>0</v>
      </c>
      <c r="I7" s="2" t="b">
        <v>1</v>
      </c>
      <c r="J7" s="2"/>
      <c r="K7" s="2"/>
      <c r="L7" s="6"/>
      <c r="M7" s="2" t="s">
        <v>1284</v>
      </c>
      <c r="N7" s="6"/>
      <c r="O7" s="2" t="s">
        <v>1284</v>
      </c>
      <c r="P7" s="2"/>
      <c r="Q7" s="4" t="e">
        <f>COUNTIFS(vw_state_transition_rules_closure!{{FromId}}, A7)</f>
        <v>#VALUE!</v>
      </c>
    </row>
    <row r="8">
      <c r="A8" s="2" t="s">
        <v>1479</v>
      </c>
      <c r="B8" s="3" t="str">
        <f>A8</f>
        <v>diagnosis-lifecycle--notactionable</v>
      </c>
      <c r="C8" s="3" t="str">
        <f>"/admin/state-machine/states/" &amp; A8</f>
        <v>/admin/state-machine/states/diagnosis-lifecycle--notactionable</v>
      </c>
      <c r="D8" s="2" t="s">
        <v>1451</v>
      </c>
      <c r="E8" s="2" t="s">
        <v>1480</v>
      </c>
      <c r="F8" s="2" t="s">
        <v>1480</v>
      </c>
      <c r="G8" s="2">
        <v>7</v>
      </c>
      <c r="H8" s="2" t="b">
        <v>0</v>
      </c>
      <c r="I8" s="2" t="b">
        <v>1</v>
      </c>
      <c r="J8" s="2"/>
      <c r="K8" s="2"/>
      <c r="L8" s="6"/>
      <c r="M8" s="2" t="s">
        <v>1284</v>
      </c>
      <c r="N8" s="6"/>
      <c r="O8" s="2" t="s">
        <v>1284</v>
      </c>
      <c r="P8" s="2"/>
      <c r="Q8" s="4" t="e">
        <f>COUNTIFS(vw_state_transition_rules_closure!{{FromId}}, A8)</f>
        <v>#VALUE!</v>
      </c>
    </row>
    <row r="9">
      <c r="A9" s="2" t="s">
        <v>1481</v>
      </c>
      <c r="B9" s="3" t="str">
        <f>A9</f>
        <v>lupus-nephritis-progression--quiescent</v>
      </c>
      <c r="C9" s="3" t="str">
        <f>"/admin/state-machine/states/" &amp; A9</f>
        <v>/admin/state-machine/states/lupus-nephritis-progression--quiescent</v>
      </c>
      <c r="D9" s="2" t="s">
        <v>1454</v>
      </c>
      <c r="E9" s="2" t="s">
        <v>1482</v>
      </c>
      <c r="F9" s="2" t="s">
        <v>1483</v>
      </c>
      <c r="G9" s="2">
        <v>0</v>
      </c>
      <c r="H9" s="2" t="b">
        <v>0</v>
      </c>
      <c r="I9" s="2" t="b">
        <v>1</v>
      </c>
      <c r="J9" s="2"/>
      <c r="K9" s="2"/>
      <c r="L9" s="6">
        <v>46193</v>
      </c>
      <c r="M9" s="2" t="s">
        <v>1457</v>
      </c>
      <c r="N9" s="6">
        <v>46193</v>
      </c>
      <c r="O9" s="2" t="s">
        <v>1457</v>
      </c>
      <c r="P9" s="2" t="s">
        <v>1458</v>
      </c>
      <c r="Q9" s="4" t="e">
        <f>COUNTIFS(vw_state_transition_rules_closure!{{FromId}}, A9)</f>
        <v>#VALUE!</v>
      </c>
    </row>
    <row r="10">
      <c r="A10" s="2" t="s">
        <v>1484</v>
      </c>
      <c r="B10" s="3" t="str">
        <f>A10</f>
        <v>lupus-nephritis-progression--presymptomaticautoimmunity</v>
      </c>
      <c r="C10" s="3" t="str">
        <f>"/admin/state-machine/states/" &amp; A10</f>
        <v>/admin/state-machine/states/lupus-nephritis-progression--presymptomaticautoimmunity</v>
      </c>
      <c r="D10" s="2" t="s">
        <v>1454</v>
      </c>
      <c r="E10" s="2" t="s">
        <v>1485</v>
      </c>
      <c r="F10" s="2" t="s">
        <v>1486</v>
      </c>
      <c r="G10" s="2">
        <v>1</v>
      </c>
      <c r="H10" s="2" t="b">
        <v>1</v>
      </c>
      <c r="I10" s="2" t="b">
        <v>0</v>
      </c>
      <c r="J10" s="2"/>
      <c r="K10" s="2"/>
      <c r="L10" s="6">
        <v>46193</v>
      </c>
      <c r="M10" s="2" t="s">
        <v>1457</v>
      </c>
      <c r="N10" s="6">
        <v>46193</v>
      </c>
      <c r="O10" s="2" t="s">
        <v>1457</v>
      </c>
      <c r="P10" s="2" t="s">
        <v>1458</v>
      </c>
      <c r="Q10" s="4" t="e">
        <f>COUNTIFS(vw_state_transition_rules_closure!{{FromId}}, A10)</f>
        <v>#VALUE!</v>
      </c>
    </row>
    <row r="11">
      <c r="A11" s="2" t="s">
        <v>1487</v>
      </c>
      <c r="B11" s="3" t="str">
        <f>A11</f>
        <v>lupus-nephritis-progression--serologicactive</v>
      </c>
      <c r="C11" s="3" t="str">
        <f>"/admin/state-machine/states/" &amp; A11</f>
        <v>/admin/state-machine/states/lupus-nephritis-progression--serologicactive</v>
      </c>
      <c r="D11" s="2" t="s">
        <v>1454</v>
      </c>
      <c r="E11" s="2" t="s">
        <v>1488</v>
      </c>
      <c r="F11" s="2" t="s">
        <v>1489</v>
      </c>
      <c r="G11" s="2">
        <v>2</v>
      </c>
      <c r="H11" s="2" t="b">
        <v>0</v>
      </c>
      <c r="I11" s="2" t="b">
        <v>0</v>
      </c>
      <c r="J11" s="2"/>
      <c r="K11" s="2"/>
      <c r="L11" s="6">
        <v>46193</v>
      </c>
      <c r="M11" s="2" t="s">
        <v>1457</v>
      </c>
      <c r="N11" s="6">
        <v>46193</v>
      </c>
      <c r="O11" s="2" t="s">
        <v>1457</v>
      </c>
      <c r="P11" s="2" t="s">
        <v>1458</v>
      </c>
      <c r="Q11" s="4" t="e">
        <f>COUNTIFS(vw_state_transition_rules_closure!{{FromId}}, A11)</f>
        <v>#VALUE!</v>
      </c>
    </row>
    <row r="12">
      <c r="A12" s="2" t="s">
        <v>1490</v>
      </c>
      <c r="B12" s="3" t="str">
        <f>A12</f>
        <v>lupus-nephritis-progression--earlynephritis</v>
      </c>
      <c r="C12" s="3" t="str">
        <f>"/admin/state-machine/states/" &amp; A12</f>
        <v>/admin/state-machine/states/lupus-nephritis-progression--earlynephritis</v>
      </c>
      <c r="D12" s="2" t="s">
        <v>1454</v>
      </c>
      <c r="E12" s="2" t="s">
        <v>1491</v>
      </c>
      <c r="F12" s="2" t="s">
        <v>1492</v>
      </c>
      <c r="G12" s="2">
        <v>3</v>
      </c>
      <c r="H12" s="2" t="b">
        <v>0</v>
      </c>
      <c r="I12" s="2" t="b">
        <v>0</v>
      </c>
      <c r="J12" s="2"/>
      <c r="K12" s="2"/>
      <c r="L12" s="6">
        <v>46193</v>
      </c>
      <c r="M12" s="2" t="s">
        <v>1457</v>
      </c>
      <c r="N12" s="6">
        <v>46193</v>
      </c>
      <c r="O12" s="2" t="s">
        <v>1457</v>
      </c>
      <c r="P12" s="2" t="s">
        <v>1458</v>
      </c>
      <c r="Q12" s="4" t="e">
        <f>COUNTIFS(vw_state_transition_rules_closure!{{FromId}}, A12)</f>
        <v>#VALUE!</v>
      </c>
    </row>
    <row r="13">
      <c r="A13" s="2" t="s">
        <v>1493</v>
      </c>
      <c r="B13" s="3" t="str">
        <f>A13</f>
        <v>lupus-nephritis-progression--renalflarerisk</v>
      </c>
      <c r="C13" s="3" t="str">
        <f>"/admin/state-machine/states/" &amp; A13</f>
        <v>/admin/state-machine/states/lupus-nephritis-progression--renalflarerisk</v>
      </c>
      <c r="D13" s="2" t="s">
        <v>1454</v>
      </c>
      <c r="E13" s="2" t="s">
        <v>1494</v>
      </c>
      <c r="F13" s="2" t="s">
        <v>1495</v>
      </c>
      <c r="G13" s="2">
        <v>4</v>
      </c>
      <c r="H13" s="2" t="b">
        <v>0</v>
      </c>
      <c r="I13" s="2" t="b">
        <v>0</v>
      </c>
      <c r="J13" s="2"/>
      <c r="K13" s="2"/>
      <c r="L13" s="6">
        <v>46193</v>
      </c>
      <c r="M13" s="2" t="s">
        <v>1457</v>
      </c>
      <c r="N13" s="6">
        <v>46193</v>
      </c>
      <c r="O13" s="2" t="s">
        <v>1457</v>
      </c>
      <c r="P13" s="2" t="s">
        <v>1458</v>
      </c>
      <c r="Q13" s="4" t="e">
        <f>COUNTIFS(vw_state_transition_rules_closure!{{FromId}}, A13)</f>
        <v>#VALUE!</v>
      </c>
    </row>
    <row r="14">
      <c r="A14" s="2" t="s">
        <v>1496</v>
      </c>
      <c r="B14" s="3" t="str">
        <f>A14</f>
        <v>lupus-nephritis-progression--biopsyindicated</v>
      </c>
      <c r="C14" s="3" t="str">
        <f>"/admin/state-machine/states/" &amp; A14</f>
        <v>/admin/state-machine/states/lupus-nephritis-progression--biopsyindicated</v>
      </c>
      <c r="D14" s="2" t="s">
        <v>1454</v>
      </c>
      <c r="E14" s="2" t="s">
        <v>1497</v>
      </c>
      <c r="F14" s="2" t="s">
        <v>1498</v>
      </c>
      <c r="G14" s="2">
        <v>5</v>
      </c>
      <c r="H14" s="2" t="b">
        <v>0</v>
      </c>
      <c r="I14" s="2" t="b">
        <v>1</v>
      </c>
      <c r="J14" s="2"/>
      <c r="K14" s="2"/>
      <c r="L14" s="6">
        <v>46193</v>
      </c>
      <c r="M14" s="2" t="s">
        <v>1457</v>
      </c>
      <c r="N14" s="6">
        <v>46193</v>
      </c>
      <c r="O14" s="2" t="s">
        <v>1457</v>
      </c>
      <c r="P14" s="2" t="s">
        <v>1458</v>
      </c>
      <c r="Q14" s="4" t="e">
        <f>COUNTIFS(vw_state_transition_rules_closure!{{FromId}}, A14)</f>
        <v>#VALUE!</v>
      </c>
    </row>
  </sheetData>
  <autoFilter ref="A1:Q1"/>
  <headerFooter/>
  <legacyDrawing r:id="rId1"/>
</worksheet>
</file>

<file path=xl/worksheets/sheet3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S15"/>
  <sheetViews>
    <sheetView workbookViewId="0">
      <pane ySplit="1" topLeftCell="A2" state="frozen" activePane="bottomLeft"/>
      <selection pane="bottomLeft" activeCell="A1" sqref="A1"/>
    </sheetView>
  </sheetViews>
  <sheetFormatPr defaultRowHeight="15"/>
  <cols>
    <col min="1" max="1" width="72.65815734863281" customWidth="1"/>
    <col min="2" max="2" width="72.65815734863281" customWidth="1"/>
    <col min="3" max="3" width="100.06095123291016" customWidth="1"/>
    <col min="4" max="4" width="26.3172664642334" customWidth="1"/>
    <col min="5" max="5" width="55.97280502319336" customWidth="1"/>
    <col min="6" max="6" width="42.1179313659668" customWidth="1"/>
    <col min="7" max="7" width="75.7645263671875" customWidth="1"/>
    <col min="8" max="8" width="17.443378448486328" customWidth="1"/>
    <col min="9" max="9" width="27.087671279907227" customWidth="1"/>
    <col min="10" max="10" width="17.443378448486328" customWidth="1"/>
    <col min="11" max="11" width="28.873071670532227" customWidth="1"/>
    <col min="12" max="12" width="21.608993530273438" customWidth="1"/>
    <col min="13" max="13" width="17.443378448486328" customWidth="1"/>
    <col min="14" max="14" width="24.629854202270508" customWidth="1"/>
    <col min="15" max="15" width="17.443378448486328" customWidth="1"/>
    <col min="16" max="16" width="24.629854202270508" customWidth="1"/>
    <col min="17" max="17" width="17.443378448486328" customWidth="1"/>
    <col min="18" max="18" width="17.443378448486328" customWidth="1"/>
    <col min="19" max="19" width="19.770267486572266" customWidth="1"/>
  </cols>
  <sheetData>
    <row r="1">
      <c r="A1" s="1" t="s">
        <v>1499</v>
      </c>
      <c r="B1" s="1" t="s">
        <v>3</v>
      </c>
      <c r="C1" s="1" t="s">
        <v>4</v>
      </c>
      <c r="D1" s="1" t="s">
        <v>1460</v>
      </c>
      <c r="E1" s="1" t="s">
        <v>1500</v>
      </c>
      <c r="F1" s="1" t="s">
        <v>1501</v>
      </c>
      <c r="G1" s="1" t="s">
        <v>1502</v>
      </c>
      <c r="H1" s="1" t="s">
        <v>1503</v>
      </c>
      <c r="I1" s="1" t="s">
        <v>1504</v>
      </c>
      <c r="J1" s="1" t="s">
        <v>1505</v>
      </c>
      <c r="K1" s="1" t="s">
        <v>1506</v>
      </c>
      <c r="L1" s="1" t="s">
        <v>1507</v>
      </c>
      <c r="M1" s="1" t="s">
        <v>1508</v>
      </c>
      <c r="N1" s="1" t="s">
        <v>1268</v>
      </c>
      <c r="O1" s="1" t="s">
        <v>1269</v>
      </c>
      <c r="P1" s="1" t="s">
        <v>1270</v>
      </c>
      <c r="Q1" s="1" t="s">
        <v>1271</v>
      </c>
      <c r="R1" s="1" t="s">
        <v>1272</v>
      </c>
      <c r="S1" s="1" t="s">
        <v>1509</v>
      </c>
    </row>
    <row r="2">
      <c r="A2" s="2" t="s">
        <v>1510</v>
      </c>
      <c r="B2" s="3" t="str">
        <f>A2</f>
        <v>diagnosis-lifecycle--intake-&gt;evidenceassessed</v>
      </c>
      <c r="C2" s="3" t="str">
        <f>"/admin/state-machine/rules/" &amp; A2</f>
        <v>/admin/state-machine/rules/diagnosis-lifecycle--intake-&gt;evidenceassessed</v>
      </c>
      <c r="D2" s="2" t="s">
        <v>1451</v>
      </c>
      <c r="E2" s="2" t="s">
        <v>1468</v>
      </c>
      <c r="F2" s="2" t="s">
        <v>1469</v>
      </c>
      <c r="G2" s="2" t="s">
        <v>1511</v>
      </c>
      <c r="H2" s="2"/>
      <c r="I2" s="2"/>
      <c r="J2" s="2" t="s">
        <v>1512</v>
      </c>
      <c r="K2" s="3" t="str">
        <f>INDEX(MachineStates!E2:E999, MATCH(E2,MachineStates!A2:A999, 0))</f>
        <v>Intake</v>
      </c>
      <c r="L2" s="3" t="str">
        <f>INDEX(MachineStates!E2:E999, MATCH(F2,MachineStates!A2:A999, 0))</f>
        <v>EvidenceAssessed</v>
      </c>
      <c r="M2" s="3" t="b">
        <f>NOT(L2=K2)</f>
        <v>1</v>
      </c>
      <c r="N2" s="6"/>
      <c r="O2" s="2" t="s">
        <v>1284</v>
      </c>
      <c r="P2" s="6"/>
      <c r="Q2" s="2" t="s">
        <v>1284</v>
      </c>
      <c r="R2" s="2"/>
      <c r="S2" s="2"/>
    </row>
    <row r="3">
      <c r="A3" s="2" t="s">
        <v>1513</v>
      </c>
      <c r="B3" s="3" t="str">
        <f>A3</f>
        <v>diagnosis-lifecycle--evidenceassessed-&gt;mechanismconfirmed</v>
      </c>
      <c r="C3" s="3" t="str">
        <f>"/admin/state-machine/rules/" &amp; A3</f>
        <v>/admin/state-machine/rules/diagnosis-lifecycle--evidenceassessed-&gt;mechanismconfirmed</v>
      </c>
      <c r="D3" s="2" t="s">
        <v>1451</v>
      </c>
      <c r="E3" s="2" t="s">
        <v>1469</v>
      </c>
      <c r="F3" s="2" t="s">
        <v>1471</v>
      </c>
      <c r="G3" s="2" t="s">
        <v>1514</v>
      </c>
      <c r="H3" s="2"/>
      <c r="I3" s="2"/>
      <c r="J3" s="2" t="s">
        <v>1512</v>
      </c>
      <c r="K3" s="3" t="str">
        <f>INDEX(MachineStates!E2:E999, MATCH(E3,MachineStates!A2:A999, 0))</f>
        <v>EvidenceAssessed</v>
      </c>
      <c r="L3" s="3" t="str">
        <f>INDEX(MachineStates!E2:E999, MATCH(F3,MachineStates!A2:A999, 0))</f>
        <v>MechanismConfirmed</v>
      </c>
      <c r="M3" s="3" t="b">
        <f>NOT(L3=K3)</f>
        <v>1</v>
      </c>
      <c r="N3" s="6"/>
      <c r="O3" s="2" t="s">
        <v>1284</v>
      </c>
      <c r="P3" s="6"/>
      <c r="Q3" s="2" t="s">
        <v>1284</v>
      </c>
      <c r="R3" s="2"/>
      <c r="S3" s="2"/>
    </row>
    <row r="4">
      <c r="A4" s="2" t="s">
        <v>1515</v>
      </c>
      <c r="B4" s="3" t="str">
        <f>A4</f>
        <v>diagnosis-lifecycle--evidenceassessed-&gt;notactionable</v>
      </c>
      <c r="C4" s="3" t="str">
        <f>"/admin/state-machine/rules/" &amp; A4</f>
        <v>/admin/state-machine/rules/diagnosis-lifecycle--evidenceassessed-&gt;notactionable</v>
      </c>
      <c r="D4" s="2" t="s">
        <v>1451</v>
      </c>
      <c r="E4" s="2" t="s">
        <v>1469</v>
      </c>
      <c r="F4" s="2" t="s">
        <v>1479</v>
      </c>
      <c r="G4" s="2" t="s">
        <v>1516</v>
      </c>
      <c r="H4" s="2"/>
      <c r="I4" s="2"/>
      <c r="J4" s="2" t="s">
        <v>1512</v>
      </c>
      <c r="K4" s="3" t="str">
        <f>INDEX(MachineStates!E2:E999, MATCH(E4,MachineStates!A2:A999, 0))</f>
        <v>EvidenceAssessed</v>
      </c>
      <c r="L4" s="3" t="str">
        <f>INDEX(MachineStates!E2:E999, MATCH(F4,MachineStates!A2:A999, 0))</f>
        <v>NotActionable</v>
      </c>
      <c r="M4" s="3" t="b">
        <f>NOT(L4=K4)</f>
        <v>1</v>
      </c>
      <c r="N4" s="6"/>
      <c r="O4" s="2" t="s">
        <v>1284</v>
      </c>
      <c r="P4" s="6"/>
      <c r="Q4" s="2" t="s">
        <v>1284</v>
      </c>
      <c r="R4" s="2"/>
      <c r="S4" s="2"/>
    </row>
    <row r="5">
      <c r="A5" s="2" t="s">
        <v>1517</v>
      </c>
      <c r="B5" s="3" t="str">
        <f>A5</f>
        <v>diagnosis-lifecycle--mechanismconfirmed-&gt;calibrationchecked</v>
      </c>
      <c r="C5" s="3" t="str">
        <f>"/admin/state-machine/rules/" &amp; A5</f>
        <v>/admin/state-machine/rules/diagnosis-lifecycle--mechanismconfirmed-&gt;calibrationchecked</v>
      </c>
      <c r="D5" s="2" t="s">
        <v>1451</v>
      </c>
      <c r="E5" s="2" t="s">
        <v>1471</v>
      </c>
      <c r="F5" s="2" t="s">
        <v>1473</v>
      </c>
      <c r="G5" s="2" t="s">
        <v>1518</v>
      </c>
      <c r="H5" s="2"/>
      <c r="I5" s="2"/>
      <c r="J5" s="2" t="s">
        <v>1512</v>
      </c>
      <c r="K5" s="3" t="str">
        <f>INDEX(MachineStates!E2:E999, MATCH(E5,MachineStates!A2:A999, 0))</f>
        <v>MechanismConfirmed</v>
      </c>
      <c r="L5" s="3" t="str">
        <f>INDEX(MachineStates!E2:E999, MATCH(F5,MachineStates!A2:A999, 0))</f>
        <v>CalibrationChecked</v>
      </c>
      <c r="M5" s="3" t="b">
        <f>NOT(L5=K5)</f>
        <v>1</v>
      </c>
      <c r="N5" s="6"/>
      <c r="O5" s="2" t="s">
        <v>1284</v>
      </c>
      <c r="P5" s="6"/>
      <c r="Q5" s="2" t="s">
        <v>1284</v>
      </c>
      <c r="R5" s="2"/>
      <c r="S5" s="2"/>
    </row>
    <row r="6">
      <c r="A6" s="2" t="s">
        <v>1519</v>
      </c>
      <c r="B6" s="3" t="str">
        <f>A6</f>
        <v>diagnosis-lifecycle--mechanismconfirmed-&gt;notactionable</v>
      </c>
      <c r="C6" s="3" t="str">
        <f>"/admin/state-machine/rules/" &amp; A6</f>
        <v>/admin/state-machine/rules/diagnosis-lifecycle--mechanismconfirmed-&gt;notactionable</v>
      </c>
      <c r="D6" s="2" t="s">
        <v>1451</v>
      </c>
      <c r="E6" s="2" t="s">
        <v>1471</v>
      </c>
      <c r="F6" s="2" t="s">
        <v>1479</v>
      </c>
      <c r="G6" s="2" t="s">
        <v>1520</v>
      </c>
      <c r="H6" s="2"/>
      <c r="I6" s="2"/>
      <c r="J6" s="2" t="s">
        <v>1512</v>
      </c>
      <c r="K6" s="3" t="str">
        <f>INDEX(MachineStates!E2:E999, MATCH(E6,MachineStates!A2:A999, 0))</f>
        <v>MechanismConfirmed</v>
      </c>
      <c r="L6" s="3" t="str">
        <f>INDEX(MachineStates!E2:E999, MATCH(F6,MachineStates!A2:A999, 0))</f>
        <v>NotActionable</v>
      </c>
      <c r="M6" s="3" t="b">
        <f>NOT(L6=K6)</f>
        <v>1</v>
      </c>
      <c r="N6" s="6"/>
      <c r="O6" s="2" t="s">
        <v>1284</v>
      </c>
      <c r="P6" s="6"/>
      <c r="Q6" s="2" t="s">
        <v>1284</v>
      </c>
      <c r="R6" s="2"/>
      <c r="S6" s="2"/>
    </row>
    <row r="7">
      <c r="A7" s="2" t="s">
        <v>1521</v>
      </c>
      <c r="B7" s="3" t="str">
        <f>A7</f>
        <v>diagnosis-lifecycle--calibrationchecked-&gt;transportchecked</v>
      </c>
      <c r="C7" s="3" t="str">
        <f>"/admin/state-machine/rules/" &amp; A7</f>
        <v>/admin/state-machine/rules/diagnosis-lifecycle--calibrationchecked-&gt;transportchecked</v>
      </c>
      <c r="D7" s="2" t="s">
        <v>1451</v>
      </c>
      <c r="E7" s="2" t="s">
        <v>1473</v>
      </c>
      <c r="F7" s="2" t="s">
        <v>1475</v>
      </c>
      <c r="G7" s="2" t="s">
        <v>1522</v>
      </c>
      <c r="H7" s="2"/>
      <c r="I7" s="2"/>
      <c r="J7" s="2" t="s">
        <v>1512</v>
      </c>
      <c r="K7" s="3" t="str">
        <f>INDEX(MachineStates!E2:E999, MATCH(E7,MachineStates!A2:A999, 0))</f>
        <v>CalibrationChecked</v>
      </c>
      <c r="L7" s="3" t="str">
        <f>INDEX(MachineStates!E2:E999, MATCH(F7,MachineStates!A2:A999, 0))</f>
        <v>TransportChecked</v>
      </c>
      <c r="M7" s="3" t="b">
        <f>NOT(L7=K7)</f>
        <v>1</v>
      </c>
      <c r="N7" s="6"/>
      <c r="O7" s="2" t="s">
        <v>1284</v>
      </c>
      <c r="P7" s="6"/>
      <c r="Q7" s="2" t="s">
        <v>1284</v>
      </c>
      <c r="R7" s="2"/>
      <c r="S7" s="2"/>
    </row>
    <row r="8">
      <c r="A8" s="2" t="s">
        <v>1523</v>
      </c>
      <c r="B8" s="3" t="str">
        <f>A8</f>
        <v>diagnosis-lifecycle--calibrationchecked-&gt;notactionable</v>
      </c>
      <c r="C8" s="3" t="str">
        <f>"/admin/state-machine/rules/" &amp; A8</f>
        <v>/admin/state-machine/rules/diagnosis-lifecycle--calibrationchecked-&gt;notactionable</v>
      </c>
      <c r="D8" s="2" t="s">
        <v>1451</v>
      </c>
      <c r="E8" s="2" t="s">
        <v>1473</v>
      </c>
      <c r="F8" s="2" t="s">
        <v>1479</v>
      </c>
      <c r="G8" s="2" t="s">
        <v>1524</v>
      </c>
      <c r="H8" s="2"/>
      <c r="I8" s="2"/>
      <c r="J8" s="2" t="s">
        <v>1512</v>
      </c>
      <c r="K8" s="3" t="str">
        <f>INDEX(MachineStates!E2:E999, MATCH(E8,MachineStates!A2:A999, 0))</f>
        <v>CalibrationChecked</v>
      </c>
      <c r="L8" s="3" t="str">
        <f>INDEX(MachineStates!E2:E999, MATCH(F8,MachineStates!A2:A999, 0))</f>
        <v>NotActionable</v>
      </c>
      <c r="M8" s="3" t="b">
        <f>NOT(L8=K8)</f>
        <v>1</v>
      </c>
      <c r="N8" s="6"/>
      <c r="O8" s="2" t="s">
        <v>1284</v>
      </c>
      <c r="P8" s="6"/>
      <c r="Q8" s="2" t="s">
        <v>1284</v>
      </c>
      <c r="R8" s="2"/>
      <c r="S8" s="2"/>
    </row>
    <row r="9">
      <c r="A9" s="2" t="s">
        <v>1525</v>
      </c>
      <c r="B9" s="3" t="str">
        <f>A9</f>
        <v>diagnosis-lifecycle--transportchecked-&gt;actionable</v>
      </c>
      <c r="C9" s="3" t="str">
        <f>"/admin/state-machine/rules/" &amp; A9</f>
        <v>/admin/state-machine/rules/diagnosis-lifecycle--transportchecked-&gt;actionable</v>
      </c>
      <c r="D9" s="2" t="s">
        <v>1451</v>
      </c>
      <c r="E9" s="2" t="s">
        <v>1475</v>
      </c>
      <c r="F9" s="2" t="s">
        <v>1477</v>
      </c>
      <c r="G9" s="2" t="s">
        <v>1526</v>
      </c>
      <c r="H9" s="2"/>
      <c r="I9" s="2"/>
      <c r="J9" s="2" t="s">
        <v>1512</v>
      </c>
      <c r="K9" s="3" t="str">
        <f>INDEX(MachineStates!E2:E999, MATCH(E9,MachineStates!A2:A999, 0))</f>
        <v>TransportChecked</v>
      </c>
      <c r="L9" s="3" t="str">
        <f>INDEX(MachineStates!E2:E999, MATCH(F9,MachineStates!A2:A999, 0))</f>
        <v>Actionable</v>
      </c>
      <c r="M9" s="3" t="b">
        <f>NOT(L9=K9)</f>
        <v>1</v>
      </c>
      <c r="N9" s="6"/>
      <c r="O9" s="2" t="s">
        <v>1284</v>
      </c>
      <c r="P9" s="6"/>
      <c r="Q9" s="2" t="s">
        <v>1284</v>
      </c>
      <c r="R9" s="2"/>
      <c r="S9" s="2"/>
    </row>
    <row r="10">
      <c r="A10" s="2" t="s">
        <v>1527</v>
      </c>
      <c r="B10" s="3" t="str">
        <f>A10</f>
        <v>diagnosis-lifecycle--transportchecked-&gt;notactionable</v>
      </c>
      <c r="C10" s="3" t="str">
        <f>"/admin/state-machine/rules/" &amp; A10</f>
        <v>/admin/state-machine/rules/diagnosis-lifecycle--transportchecked-&gt;notactionable</v>
      </c>
      <c r="D10" s="2" t="s">
        <v>1451</v>
      </c>
      <c r="E10" s="2" t="s">
        <v>1475</v>
      </c>
      <c r="F10" s="2" t="s">
        <v>1479</v>
      </c>
      <c r="G10" s="2" t="s">
        <v>1528</v>
      </c>
      <c r="H10" s="2"/>
      <c r="I10" s="2"/>
      <c r="J10" s="2" t="s">
        <v>1512</v>
      </c>
      <c r="K10" s="3" t="str">
        <f>INDEX(MachineStates!E2:E999, MATCH(E10,MachineStates!A2:A999, 0))</f>
        <v>TransportChecked</v>
      </c>
      <c r="L10" s="3" t="str">
        <f>INDEX(MachineStates!E2:E999, MATCH(F10,MachineStates!A2:A999, 0))</f>
        <v>NotActionable</v>
      </c>
      <c r="M10" s="3" t="b">
        <f>NOT(L10=K10)</f>
        <v>1</v>
      </c>
      <c r="N10" s="6"/>
      <c r="O10" s="2" t="s">
        <v>1284</v>
      </c>
      <c r="P10" s="6"/>
      <c r="Q10" s="2" t="s">
        <v>1284</v>
      </c>
      <c r="R10" s="2"/>
      <c r="S10" s="2"/>
    </row>
    <row r="11">
      <c r="A11" s="2" t="s">
        <v>1529</v>
      </c>
      <c r="B11" s="3" t="str">
        <f>A11</f>
        <v>lupus-nephritis-progression--presymptomaticautoimmunity-&gt;serologicactive</v>
      </c>
      <c r="C11" s="3" t="str">
        <f>"/admin/state-machine/rules/" &amp; A11</f>
        <v>/admin/state-machine/rules/lupus-nephritis-progression--presymptomaticautoimmunity-&gt;serologicactive</v>
      </c>
      <c r="D11" s="2" t="s">
        <v>1454</v>
      </c>
      <c r="E11" s="2" t="s">
        <v>1484</v>
      </c>
      <c r="F11" s="2" t="s">
        <v>1487</v>
      </c>
      <c r="G11" s="2" t="s">
        <v>1530</v>
      </c>
      <c r="H11" s="2" t="s">
        <v>1531</v>
      </c>
      <c r="I11" s="2" t="s">
        <v>1532</v>
      </c>
      <c r="J11" s="2" t="s">
        <v>1512</v>
      </c>
      <c r="K11" s="3" t="str">
        <f>INDEX(MachineStates!E2:E999, MATCH(E11,MachineStates!A2:A999, 0))</f>
        <v>PresymptomaticAutoimmunity</v>
      </c>
      <c r="L11" s="3" t="str">
        <f>INDEX(MachineStates!E2:E999, MATCH(F11,MachineStates!A2:A999, 0))</f>
        <v>SerologicActive</v>
      </c>
      <c r="M11" s="3" t="b">
        <f>NOT(L11=K11)</f>
        <v>1</v>
      </c>
      <c r="N11" s="6">
        <v>46193</v>
      </c>
      <c r="O11" s="2" t="s">
        <v>1457</v>
      </c>
      <c r="P11" s="6">
        <v>46193</v>
      </c>
      <c r="Q11" s="2" t="s">
        <v>1457</v>
      </c>
      <c r="R11" s="2" t="s">
        <v>1458</v>
      </c>
      <c r="S11" s="2"/>
    </row>
    <row r="12">
      <c r="A12" s="2" t="s">
        <v>1533</v>
      </c>
      <c r="B12" s="3" t="str">
        <f>A12</f>
        <v>lupus-nephritis-progression--serologicactive-&gt;earlynephritis</v>
      </c>
      <c r="C12" s="3" t="str">
        <f>"/admin/state-machine/rules/" &amp; A12</f>
        <v>/admin/state-machine/rules/lupus-nephritis-progression--serologicactive-&gt;earlynephritis</v>
      </c>
      <c r="D12" s="2" t="s">
        <v>1454</v>
      </c>
      <c r="E12" s="2" t="s">
        <v>1487</v>
      </c>
      <c r="F12" s="2" t="s">
        <v>1490</v>
      </c>
      <c r="G12" s="2" t="s">
        <v>1534</v>
      </c>
      <c r="H12" s="2" t="s">
        <v>1535</v>
      </c>
      <c r="I12" s="2" t="s">
        <v>1532</v>
      </c>
      <c r="J12" s="2" t="s">
        <v>1512</v>
      </c>
      <c r="K12" s="3" t="str">
        <f>INDEX(MachineStates!E2:E999, MATCH(E12,MachineStates!A2:A999, 0))</f>
        <v>SerologicActive</v>
      </c>
      <c r="L12" s="3" t="str">
        <f>INDEX(MachineStates!E2:E999, MATCH(F12,MachineStates!A2:A999, 0))</f>
        <v>EarlyNephritis</v>
      </c>
      <c r="M12" s="3" t="b">
        <f>NOT(L12=K12)</f>
        <v>1</v>
      </c>
      <c r="N12" s="6">
        <v>46193</v>
      </c>
      <c r="O12" s="2" t="s">
        <v>1457</v>
      </c>
      <c r="P12" s="6">
        <v>46193</v>
      </c>
      <c r="Q12" s="2" t="s">
        <v>1457</v>
      </c>
      <c r="R12" s="2" t="s">
        <v>1458</v>
      </c>
      <c r="S12" s="2"/>
    </row>
    <row r="13">
      <c r="A13" s="2" t="s">
        <v>1536</v>
      </c>
      <c r="B13" s="3" t="str">
        <f>A13</f>
        <v>lupus-nephritis-progression--earlynephritis-&gt;renalflarerisk</v>
      </c>
      <c r="C13" s="3" t="str">
        <f>"/admin/state-machine/rules/" &amp; A13</f>
        <v>/admin/state-machine/rules/lupus-nephritis-progression--earlynephritis-&gt;renalflarerisk</v>
      </c>
      <c r="D13" s="2" t="s">
        <v>1454</v>
      </c>
      <c r="E13" s="2" t="s">
        <v>1490</v>
      </c>
      <c r="F13" s="2" t="s">
        <v>1493</v>
      </c>
      <c r="G13" s="2" t="s">
        <v>1537</v>
      </c>
      <c r="H13" s="2" t="s">
        <v>1538</v>
      </c>
      <c r="I13" s="2" t="s">
        <v>1532</v>
      </c>
      <c r="J13" s="2" t="s">
        <v>1512</v>
      </c>
      <c r="K13" s="3" t="str">
        <f>INDEX(MachineStates!E2:E999, MATCH(E13,MachineStates!A2:A999, 0))</f>
        <v>EarlyNephritis</v>
      </c>
      <c r="L13" s="3" t="str">
        <f>INDEX(MachineStates!E2:E999, MATCH(F13,MachineStates!A2:A999, 0))</f>
        <v>RenalFlareRisk</v>
      </c>
      <c r="M13" s="3" t="b">
        <f>NOT(L13=K13)</f>
        <v>1</v>
      </c>
      <c r="N13" s="6">
        <v>46193</v>
      </c>
      <c r="O13" s="2" t="s">
        <v>1457</v>
      </c>
      <c r="P13" s="6">
        <v>46193</v>
      </c>
      <c r="Q13" s="2" t="s">
        <v>1457</v>
      </c>
      <c r="R13" s="2" t="s">
        <v>1458</v>
      </c>
      <c r="S13" s="2"/>
    </row>
    <row r="14">
      <c r="A14" s="2" t="s">
        <v>1539</v>
      </c>
      <c r="B14" s="3" t="str">
        <f>A14</f>
        <v>lupus-nephritis-progression--renalflarerisk-&gt;biopsyindicated</v>
      </c>
      <c r="C14" s="3" t="str">
        <f>"/admin/state-machine/rules/" &amp; A14</f>
        <v>/admin/state-machine/rules/lupus-nephritis-progression--renalflarerisk-&gt;biopsyindicated</v>
      </c>
      <c r="D14" s="2" t="s">
        <v>1454</v>
      </c>
      <c r="E14" s="2" t="s">
        <v>1493</v>
      </c>
      <c r="F14" s="2" t="s">
        <v>1496</v>
      </c>
      <c r="G14" s="2" t="s">
        <v>1540</v>
      </c>
      <c r="H14" s="2" t="s">
        <v>1541</v>
      </c>
      <c r="I14" s="2" t="s">
        <v>1532</v>
      </c>
      <c r="J14" s="2" t="s">
        <v>1512</v>
      </c>
      <c r="K14" s="3" t="str">
        <f>INDEX(MachineStates!E2:E999, MATCH(E14,MachineStates!A2:A999, 0))</f>
        <v>RenalFlareRisk</v>
      </c>
      <c r="L14" s="3" t="str">
        <f>INDEX(MachineStates!E2:E999, MATCH(F14,MachineStates!A2:A999, 0))</f>
        <v>BiopsyIndicated</v>
      </c>
      <c r="M14" s="3" t="b">
        <f>NOT(L14=K14)</f>
        <v>1</v>
      </c>
      <c r="N14" s="6">
        <v>46193</v>
      </c>
      <c r="O14" s="2" t="s">
        <v>1457</v>
      </c>
      <c r="P14" s="6">
        <v>46193</v>
      </c>
      <c r="Q14" s="2" t="s">
        <v>1457</v>
      </c>
      <c r="R14" s="2" t="s">
        <v>1458</v>
      </c>
      <c r="S14" s="2"/>
    </row>
    <row r="15">
      <c r="A15" s="2" t="s">
        <v>1542</v>
      </c>
      <c r="B15" s="3" t="str">
        <f>A15</f>
        <v>lupus-nephritis-progression--serologicactive-&gt;quiescent</v>
      </c>
      <c r="C15" s="3" t="str">
        <f>"/admin/state-machine/rules/" &amp; A15</f>
        <v>/admin/state-machine/rules/lupus-nephritis-progression--serologicactive-&gt;quiescent</v>
      </c>
      <c r="D15" s="2" t="s">
        <v>1454</v>
      </c>
      <c r="E15" s="2" t="s">
        <v>1487</v>
      </c>
      <c r="F15" s="2" t="s">
        <v>1481</v>
      </c>
      <c r="G15" s="2" t="s">
        <v>1543</v>
      </c>
      <c r="H15" s="2" t="s">
        <v>1544</v>
      </c>
      <c r="I15" s="2" t="s">
        <v>1532</v>
      </c>
      <c r="J15" s="2" t="s">
        <v>1512</v>
      </c>
      <c r="K15" s="3" t="str">
        <f>INDEX(MachineStates!E2:E999, MATCH(E15,MachineStates!A2:A999, 0))</f>
        <v>SerologicActive</v>
      </c>
      <c r="L15" s="3" t="str">
        <f>INDEX(MachineStates!E2:E999, MATCH(F15,MachineStates!A2:A999, 0))</f>
        <v>Quiescent</v>
      </c>
      <c r="M15" s="3" t="b">
        <f>NOT(L15=K15)</f>
        <v>1</v>
      </c>
      <c r="N15" s="6">
        <v>46193</v>
      </c>
      <c r="O15" s="2" t="s">
        <v>1457</v>
      </c>
      <c r="P15" s="6">
        <v>46193</v>
      </c>
      <c r="Q15" s="2" t="s">
        <v>1457</v>
      </c>
      <c r="R15" s="2" t="s">
        <v>1458</v>
      </c>
      <c r="S15" s="2"/>
    </row>
  </sheetData>
  <autoFilter ref="A1:S1"/>
  <headerFooter/>
  <legacyDrawing r:id="rId1"/>
</worksheet>
</file>

<file path=xl/worksheets/sheet3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73"/>
  <sheetViews>
    <sheetView workbookViewId="0">
      <pane ySplit="1" topLeftCell="A2" state="frozen" activePane="bottomLeft"/>
      <selection pane="bottomLeft" activeCell="A1" sqref="A1"/>
    </sheetView>
  </sheetViews>
  <sheetFormatPr defaultRowHeight="15"/>
  <cols>
    <col min="1" max="1" width="49.723209381103516" customWidth="1"/>
    <col min="2" max="2" width="49.723209381103516" customWidth="1"/>
    <col min="3" max="3" width="82.29656219482422" customWidth="1"/>
    <col min="4" max="4" width="26.3172664642334" customWidth="1"/>
    <col min="5" max="5" width="20.728328704833984" customWidth="1"/>
    <col min="6" max="6" width="17.443378448486328" customWidth="1"/>
    <col min="7" max="7" width="28.873071670532227" customWidth="1"/>
    <col min="8" max="8" width="28.873071670532227" customWidth="1"/>
    <col min="9" max="9" width="17.443378448486328" customWidth="1"/>
    <col min="10" max="10" width="17.443378448486328" customWidth="1"/>
    <col min="11" max="11" width="57.56850814819336" customWidth="1"/>
    <col min="12" max="12" width="17.443378448486328" customWidth="1"/>
    <col min="13" max="13" width="24.629854202270508" customWidth="1"/>
    <col min="14" max="14" width="17.443378448486328" customWidth="1"/>
    <col min="15" max="15" width="24.629854202270508" customWidth="1"/>
    <col min="16" max="16" width="17.443378448486328" customWidth="1"/>
    <col min="17" max="17" width="17.443378448486328" customWidth="1"/>
  </cols>
  <sheetData>
    <row r="1">
      <c r="A1" s="1" t="s">
        <v>1545</v>
      </c>
      <c r="B1" s="1" t="s">
        <v>3</v>
      </c>
      <c r="C1" s="1" t="s">
        <v>4</v>
      </c>
      <c r="D1" s="1" t="s">
        <v>1460</v>
      </c>
      <c r="E1" s="1" t="s">
        <v>1444</v>
      </c>
      <c r="F1" s="1" t="s">
        <v>1546</v>
      </c>
      <c r="G1" s="1" t="s">
        <v>1506</v>
      </c>
      <c r="H1" s="1" t="s">
        <v>1507</v>
      </c>
      <c r="I1" s="1" t="s">
        <v>1547</v>
      </c>
      <c r="J1" s="1" t="s">
        <v>1505</v>
      </c>
      <c r="K1" s="1" t="s">
        <v>1548</v>
      </c>
      <c r="L1" s="1" t="s">
        <v>1549</v>
      </c>
      <c r="M1" s="1" t="s">
        <v>1268</v>
      </c>
      <c r="N1" s="1" t="s">
        <v>1269</v>
      </c>
      <c r="O1" s="1" t="s">
        <v>1270</v>
      </c>
      <c r="P1" s="1" t="s">
        <v>1271</v>
      </c>
      <c r="Q1" s="1" t="s">
        <v>1272</v>
      </c>
    </row>
    <row r="2">
      <c r="A2" s="2" t="s">
        <v>1550</v>
      </c>
      <c r="B2" s="3" t="str">
        <f>A2</f>
        <v>st-a-02-intake-to-evidenceassessed</v>
      </c>
      <c r="C2" s="3" t="str">
        <f>"/admin/state-machine/transitions/" &amp; A2</f>
        <v>/admin/state-machine/transitions/st-a-02-intake-to-evidenceassessed</v>
      </c>
      <c r="D2" s="2" t="s">
        <v>1451</v>
      </c>
      <c r="E2" s="2" t="s">
        <v>10</v>
      </c>
      <c r="F2" s="2" t="s">
        <v>634</v>
      </c>
      <c r="G2" s="2" t="s">
        <v>1274</v>
      </c>
      <c r="H2" s="2" t="s">
        <v>1470</v>
      </c>
      <c r="I2" s="2">
        <v>46175.375</v>
      </c>
      <c r="J2" s="2" t="s">
        <v>1512</v>
      </c>
      <c r="K2" s="2" t="s">
        <v>1551</v>
      </c>
      <c r="L2" s="3" t="b">
        <f>NOT(H2="Intake")</f>
        <v>1</v>
      </c>
      <c r="M2" s="6"/>
      <c r="N2" s="2" t="s">
        <v>1284</v>
      </c>
      <c r="O2" s="6"/>
      <c r="P2" s="2" t="s">
        <v>1284</v>
      </c>
      <c r="Q2" s="2"/>
    </row>
    <row r="3">
      <c r="A3" s="2" t="s">
        <v>1552</v>
      </c>
      <c r="B3" s="3" t="str">
        <f>A3</f>
        <v>st-a-03-evidenceassessed-to-mechanismconfirmed</v>
      </c>
      <c r="C3" s="3" t="str">
        <f>"/admin/state-machine/transitions/" &amp; A3</f>
        <v>/admin/state-machine/transitions/st-a-03-evidenceassessed-to-mechanismconfirmed</v>
      </c>
      <c r="D3" s="2" t="s">
        <v>1451</v>
      </c>
      <c r="E3" s="2" t="s">
        <v>10</v>
      </c>
      <c r="F3" s="2" t="s">
        <v>634</v>
      </c>
      <c r="G3" s="2" t="s">
        <v>1470</v>
      </c>
      <c r="H3" s="2" t="s">
        <v>1472</v>
      </c>
      <c r="I3" s="2">
        <v>46176.375</v>
      </c>
      <c r="J3" s="2" t="s">
        <v>1512</v>
      </c>
      <c r="K3" s="2" t="s">
        <v>1553</v>
      </c>
      <c r="L3" s="3" t="b">
        <f>NOT(H3="Intake")</f>
        <v>1</v>
      </c>
      <c r="M3" s="6"/>
      <c r="N3" s="2" t="s">
        <v>1284</v>
      </c>
      <c r="O3" s="6"/>
      <c r="P3" s="2" t="s">
        <v>1284</v>
      </c>
      <c r="Q3" s="2"/>
    </row>
    <row r="4">
      <c r="A4" s="2" t="s">
        <v>1554</v>
      </c>
      <c r="B4" s="3" t="str">
        <f>A4</f>
        <v>st-a-04-mechanismconfirmed-to-calibrationchecked</v>
      </c>
      <c r="C4" s="3" t="str">
        <f>"/admin/state-machine/transitions/" &amp; A4</f>
        <v>/admin/state-machine/transitions/st-a-04-mechanismconfirmed-to-calibrationchecked</v>
      </c>
      <c r="D4" s="2" t="s">
        <v>1451</v>
      </c>
      <c r="E4" s="2" t="s">
        <v>10</v>
      </c>
      <c r="F4" s="2" t="s">
        <v>634</v>
      </c>
      <c r="G4" s="2" t="s">
        <v>1472</v>
      </c>
      <c r="H4" s="2" t="s">
        <v>1474</v>
      </c>
      <c r="I4" s="2">
        <v>46177.375</v>
      </c>
      <c r="J4" s="2" t="s">
        <v>1512</v>
      </c>
      <c r="K4" s="2" t="s">
        <v>1555</v>
      </c>
      <c r="L4" s="3" t="b">
        <f>NOT(H4="Intake")</f>
        <v>1</v>
      </c>
      <c r="M4" s="6"/>
      <c r="N4" s="2" t="s">
        <v>1284</v>
      </c>
      <c r="O4" s="6"/>
      <c r="P4" s="2" t="s">
        <v>1284</v>
      </c>
      <c r="Q4" s="2"/>
    </row>
    <row r="5">
      <c r="A5" s="2" t="s">
        <v>1556</v>
      </c>
      <c r="B5" s="3" t="str">
        <f>A5</f>
        <v>st-a-05-calibrationchecked-to-transportchecked</v>
      </c>
      <c r="C5" s="3" t="str">
        <f>"/admin/state-machine/transitions/" &amp; A5</f>
        <v>/admin/state-machine/transitions/st-a-05-calibrationchecked-to-transportchecked</v>
      </c>
      <c r="D5" s="2" t="s">
        <v>1451</v>
      </c>
      <c r="E5" s="2" t="s">
        <v>10</v>
      </c>
      <c r="F5" s="2" t="s">
        <v>634</v>
      </c>
      <c r="G5" s="2" t="s">
        <v>1474</v>
      </c>
      <c r="H5" s="2" t="s">
        <v>1476</v>
      </c>
      <c r="I5" s="2">
        <v>46178.375</v>
      </c>
      <c r="J5" s="2" t="s">
        <v>1512</v>
      </c>
      <c r="K5" s="2" t="s">
        <v>1557</v>
      </c>
      <c r="L5" s="3" t="b">
        <f>NOT(H5="Intake")</f>
        <v>1</v>
      </c>
      <c r="M5" s="6"/>
      <c r="N5" s="2" t="s">
        <v>1284</v>
      </c>
      <c r="O5" s="6"/>
      <c r="P5" s="2" t="s">
        <v>1284</v>
      </c>
      <c r="Q5" s="2"/>
    </row>
    <row r="6">
      <c r="A6" s="2" t="s">
        <v>1558</v>
      </c>
      <c r="B6" s="3" t="str">
        <f>A6</f>
        <v>st-a-06-transportchecked-to-actionable</v>
      </c>
      <c r="C6" s="3" t="str">
        <f>"/admin/state-machine/transitions/" &amp; A6</f>
        <v>/admin/state-machine/transitions/st-a-06-transportchecked-to-actionable</v>
      </c>
      <c r="D6" s="2" t="s">
        <v>1451</v>
      </c>
      <c r="E6" s="2" t="s">
        <v>10</v>
      </c>
      <c r="F6" s="2" t="s">
        <v>634</v>
      </c>
      <c r="G6" s="2" t="s">
        <v>1476</v>
      </c>
      <c r="H6" s="2" t="s">
        <v>1478</v>
      </c>
      <c r="I6" s="2">
        <v>46179.375</v>
      </c>
      <c r="J6" s="2" t="s">
        <v>1512</v>
      </c>
      <c r="K6" s="2" t="s">
        <v>1559</v>
      </c>
      <c r="L6" s="3" t="b">
        <f>NOT(H6="Intake")</f>
        <v>1</v>
      </c>
      <c r="M6" s="6"/>
      <c r="N6" s="2" t="s">
        <v>1284</v>
      </c>
      <c r="O6" s="6"/>
      <c r="P6" s="2" t="s">
        <v>1284</v>
      </c>
      <c r="Q6" s="2"/>
    </row>
    <row r="7">
      <c r="A7" s="2" t="s">
        <v>1560</v>
      </c>
      <c r="B7" s="3" t="str">
        <f>A7</f>
        <v>st-b-02-intake-to-evidenceassessed</v>
      </c>
      <c r="C7" s="3" t="str">
        <f>"/admin/state-machine/transitions/" &amp; A7</f>
        <v>/admin/state-machine/transitions/st-b-02-intake-to-evidenceassessed</v>
      </c>
      <c r="D7" s="2" t="s">
        <v>1451</v>
      </c>
      <c r="E7" s="2" t="s">
        <v>10</v>
      </c>
      <c r="F7" s="2" t="s">
        <v>636</v>
      </c>
      <c r="G7" s="2" t="s">
        <v>1274</v>
      </c>
      <c r="H7" s="2" t="s">
        <v>1470</v>
      </c>
      <c r="I7" s="2">
        <v>46175.375</v>
      </c>
      <c r="J7" s="2" t="s">
        <v>1512</v>
      </c>
      <c r="K7" s="2" t="s">
        <v>1551</v>
      </c>
      <c r="L7" s="3" t="b">
        <f>NOT(H7="Intake")</f>
        <v>1</v>
      </c>
      <c r="M7" s="6"/>
      <c r="N7" s="2" t="s">
        <v>1284</v>
      </c>
      <c r="O7" s="6"/>
      <c r="P7" s="2" t="s">
        <v>1284</v>
      </c>
      <c r="Q7" s="2"/>
    </row>
    <row r="8">
      <c r="A8" s="2" t="s">
        <v>1561</v>
      </c>
      <c r="B8" s="3" t="str">
        <f>A8</f>
        <v>st-b-03-evidenceassessed-to-mechanismconfirmed</v>
      </c>
      <c r="C8" s="3" t="str">
        <f>"/admin/state-machine/transitions/" &amp; A8</f>
        <v>/admin/state-machine/transitions/st-b-03-evidenceassessed-to-mechanismconfirmed</v>
      </c>
      <c r="D8" s="2" t="s">
        <v>1451</v>
      </c>
      <c r="E8" s="2" t="s">
        <v>10</v>
      </c>
      <c r="F8" s="2" t="s">
        <v>636</v>
      </c>
      <c r="G8" s="2" t="s">
        <v>1470</v>
      </c>
      <c r="H8" s="2" t="s">
        <v>1472</v>
      </c>
      <c r="I8" s="2">
        <v>46176.375</v>
      </c>
      <c r="J8" s="2" t="s">
        <v>1512</v>
      </c>
      <c r="K8" s="2" t="s">
        <v>1553</v>
      </c>
      <c r="L8" s="3" t="b">
        <f>NOT(H8="Intake")</f>
        <v>1</v>
      </c>
      <c r="M8" s="6"/>
      <c r="N8" s="2" t="s">
        <v>1284</v>
      </c>
      <c r="O8" s="6"/>
      <c r="P8" s="2" t="s">
        <v>1284</v>
      </c>
      <c r="Q8" s="2"/>
    </row>
    <row r="9">
      <c r="A9" s="2" t="s">
        <v>1562</v>
      </c>
      <c r="B9" s="3" t="str">
        <f>A9</f>
        <v>st-b-04-mechanismconfirmed-to-calibrationchecked</v>
      </c>
      <c r="C9" s="3" t="str">
        <f>"/admin/state-machine/transitions/" &amp; A9</f>
        <v>/admin/state-machine/transitions/st-b-04-mechanismconfirmed-to-calibrationchecked</v>
      </c>
      <c r="D9" s="2" t="s">
        <v>1451</v>
      </c>
      <c r="E9" s="2" t="s">
        <v>10</v>
      </c>
      <c r="F9" s="2" t="s">
        <v>636</v>
      </c>
      <c r="G9" s="2" t="s">
        <v>1472</v>
      </c>
      <c r="H9" s="2" t="s">
        <v>1474</v>
      </c>
      <c r="I9" s="2">
        <v>46177.375</v>
      </c>
      <c r="J9" s="2" t="s">
        <v>1512</v>
      </c>
      <c r="K9" s="2" t="s">
        <v>1555</v>
      </c>
      <c r="L9" s="3" t="b">
        <f>NOT(H9="Intake")</f>
        <v>1</v>
      </c>
      <c r="M9" s="6"/>
      <c r="N9" s="2" t="s">
        <v>1284</v>
      </c>
      <c r="O9" s="6"/>
      <c r="P9" s="2" t="s">
        <v>1284</v>
      </c>
      <c r="Q9" s="2"/>
    </row>
    <row r="10">
      <c r="A10" s="2" t="s">
        <v>1563</v>
      </c>
      <c r="B10" s="3" t="str">
        <f>A10</f>
        <v>st-b-05-calibrationchecked-to-notactionable</v>
      </c>
      <c r="C10" s="3" t="str">
        <f>"/admin/state-machine/transitions/" &amp; A10</f>
        <v>/admin/state-machine/transitions/st-b-05-calibrationchecked-to-notactionable</v>
      </c>
      <c r="D10" s="2" t="s">
        <v>1451</v>
      </c>
      <c r="E10" s="2" t="s">
        <v>10</v>
      </c>
      <c r="F10" s="2" t="s">
        <v>636</v>
      </c>
      <c r="G10" s="2" t="s">
        <v>1474</v>
      </c>
      <c r="H10" s="2" t="s">
        <v>1480</v>
      </c>
      <c r="I10" s="2">
        <v>46178.375</v>
      </c>
      <c r="J10" s="2" t="s">
        <v>1512</v>
      </c>
      <c r="K10" s="2" t="s">
        <v>1564</v>
      </c>
      <c r="L10" s="3" t="b">
        <f>NOT(H10="Intake")</f>
        <v>1</v>
      </c>
      <c r="M10" s="6"/>
      <c r="N10" s="2" t="s">
        <v>1284</v>
      </c>
      <c r="O10" s="6"/>
      <c r="P10" s="2" t="s">
        <v>1284</v>
      </c>
      <c r="Q10" s="2"/>
    </row>
    <row r="11">
      <c r="A11" s="2" t="s">
        <v>1565</v>
      </c>
      <c r="B11" s="3" t="str">
        <f>A11</f>
        <v>st-c-02-intake-to-evidenceassessed</v>
      </c>
      <c r="C11" s="3" t="str">
        <f>"/admin/state-machine/transitions/" &amp; A11</f>
        <v>/admin/state-machine/transitions/st-c-02-intake-to-evidenceassessed</v>
      </c>
      <c r="D11" s="2" t="s">
        <v>1451</v>
      </c>
      <c r="E11" s="2" t="s">
        <v>10</v>
      </c>
      <c r="F11" s="2" t="s">
        <v>637</v>
      </c>
      <c r="G11" s="2" t="s">
        <v>1274</v>
      </c>
      <c r="H11" s="2" t="s">
        <v>1470</v>
      </c>
      <c r="I11" s="2">
        <v>46175.375</v>
      </c>
      <c r="J11" s="2" t="s">
        <v>1512</v>
      </c>
      <c r="K11" s="2" t="s">
        <v>1551</v>
      </c>
      <c r="L11" s="3" t="b">
        <f>NOT(H11="Intake")</f>
        <v>1</v>
      </c>
      <c r="M11" s="6"/>
      <c r="N11" s="2" t="s">
        <v>1284</v>
      </c>
      <c r="O11" s="6"/>
      <c r="P11" s="2" t="s">
        <v>1284</v>
      </c>
      <c r="Q11" s="2"/>
    </row>
    <row r="12">
      <c r="A12" s="2" t="s">
        <v>1566</v>
      </c>
      <c r="B12" s="3" t="str">
        <f>A12</f>
        <v>st-c-03-evidenceassessed-to-notactionable</v>
      </c>
      <c r="C12" s="3" t="str">
        <f>"/admin/state-machine/transitions/" &amp; A12</f>
        <v>/admin/state-machine/transitions/st-c-03-evidenceassessed-to-notactionable</v>
      </c>
      <c r="D12" s="2" t="s">
        <v>1451</v>
      </c>
      <c r="E12" s="2" t="s">
        <v>10</v>
      </c>
      <c r="F12" s="2" t="s">
        <v>637</v>
      </c>
      <c r="G12" s="2" t="s">
        <v>1470</v>
      </c>
      <c r="H12" s="2" t="s">
        <v>1480</v>
      </c>
      <c r="I12" s="2">
        <v>46176.375</v>
      </c>
      <c r="J12" s="2" t="s">
        <v>1512</v>
      </c>
      <c r="K12" s="2" t="s">
        <v>1567</v>
      </c>
      <c r="L12" s="3" t="b">
        <f>NOT(H12="Intake")</f>
        <v>1</v>
      </c>
      <c r="M12" s="6"/>
      <c r="N12" s="2" t="s">
        <v>1284</v>
      </c>
      <c r="O12" s="6"/>
      <c r="P12" s="2" t="s">
        <v>1284</v>
      </c>
      <c r="Q12" s="2"/>
    </row>
    <row r="13">
      <c r="A13" s="2" t="s">
        <v>1568</v>
      </c>
      <c r="B13" s="3" t="str">
        <f>A13</f>
        <v>st-d-02-intake-to-evidenceassessed</v>
      </c>
      <c r="C13" s="3" t="str">
        <f>"/admin/state-machine/transitions/" &amp; A13</f>
        <v>/admin/state-machine/transitions/st-d-02-intake-to-evidenceassessed</v>
      </c>
      <c r="D13" s="2" t="s">
        <v>1451</v>
      </c>
      <c r="E13" s="2" t="s">
        <v>10</v>
      </c>
      <c r="F13" s="2" t="s">
        <v>638</v>
      </c>
      <c r="G13" s="2" t="s">
        <v>1274</v>
      </c>
      <c r="H13" s="2" t="s">
        <v>1470</v>
      </c>
      <c r="I13" s="2">
        <v>46175.375</v>
      </c>
      <c r="J13" s="2" t="s">
        <v>1512</v>
      </c>
      <c r="K13" s="2" t="s">
        <v>1551</v>
      </c>
      <c r="L13" s="3" t="b">
        <f>NOT(H13="Intake")</f>
        <v>1</v>
      </c>
      <c r="M13" s="6"/>
      <c r="N13" s="2" t="s">
        <v>1284</v>
      </c>
      <c r="O13" s="6"/>
      <c r="P13" s="2" t="s">
        <v>1284</v>
      </c>
      <c r="Q13" s="2"/>
    </row>
    <row r="14">
      <c r="A14" s="2" t="s">
        <v>1569</v>
      </c>
      <c r="B14" s="3" t="str">
        <f>A14</f>
        <v>st-d-03-evidenceassessed-to-mechanismconfirmed</v>
      </c>
      <c r="C14" s="3" t="str">
        <f>"/admin/state-machine/transitions/" &amp; A14</f>
        <v>/admin/state-machine/transitions/st-d-03-evidenceassessed-to-mechanismconfirmed</v>
      </c>
      <c r="D14" s="2" t="s">
        <v>1451</v>
      </c>
      <c r="E14" s="2" t="s">
        <v>10</v>
      </c>
      <c r="F14" s="2" t="s">
        <v>638</v>
      </c>
      <c r="G14" s="2" t="s">
        <v>1470</v>
      </c>
      <c r="H14" s="2" t="s">
        <v>1472</v>
      </c>
      <c r="I14" s="2">
        <v>46176.375</v>
      </c>
      <c r="J14" s="2" t="s">
        <v>1512</v>
      </c>
      <c r="K14" s="2" t="s">
        <v>1553</v>
      </c>
      <c r="L14" s="3" t="b">
        <f>NOT(H14="Intake")</f>
        <v>1</v>
      </c>
      <c r="M14" s="6"/>
      <c r="N14" s="2" t="s">
        <v>1284</v>
      </c>
      <c r="O14" s="6"/>
      <c r="P14" s="2" t="s">
        <v>1284</v>
      </c>
      <c r="Q14" s="2"/>
    </row>
    <row r="15">
      <c r="A15" s="2" t="s">
        <v>1570</v>
      </c>
      <c r="B15" s="3" t="str">
        <f>A15</f>
        <v>st-d-04-mechanismconfirmed-to-notactionable</v>
      </c>
      <c r="C15" s="3" t="str">
        <f>"/admin/state-machine/transitions/" &amp; A15</f>
        <v>/admin/state-machine/transitions/st-d-04-mechanismconfirmed-to-notactionable</v>
      </c>
      <c r="D15" s="2" t="s">
        <v>1451</v>
      </c>
      <c r="E15" s="2" t="s">
        <v>10</v>
      </c>
      <c r="F15" s="2" t="s">
        <v>638</v>
      </c>
      <c r="G15" s="2" t="s">
        <v>1472</v>
      </c>
      <c r="H15" s="2" t="s">
        <v>1480</v>
      </c>
      <c r="I15" s="2">
        <v>46177.375</v>
      </c>
      <c r="J15" s="2" t="s">
        <v>1512</v>
      </c>
      <c r="K15" s="2" t="s">
        <v>1571</v>
      </c>
      <c r="L15" s="3" t="b">
        <f>NOT(H15="Intake")</f>
        <v>1</v>
      </c>
      <c r="M15" s="6"/>
      <c r="N15" s="2" t="s">
        <v>1284</v>
      </c>
      <c r="O15" s="6"/>
      <c r="P15" s="2" t="s">
        <v>1284</v>
      </c>
      <c r="Q15" s="2"/>
    </row>
    <row r="16">
      <c r="A16" s="2" t="s">
        <v>1572</v>
      </c>
      <c r="B16" s="3" t="str">
        <f>A16</f>
        <v>st-e-02-intake-to-evidenceassessed</v>
      </c>
      <c r="C16" s="3" t="str">
        <f>"/admin/state-machine/transitions/" &amp; A16</f>
        <v>/admin/state-machine/transitions/st-e-02-intake-to-evidenceassessed</v>
      </c>
      <c r="D16" s="2" t="s">
        <v>1451</v>
      </c>
      <c r="E16" s="2" t="s">
        <v>10</v>
      </c>
      <c r="F16" s="2" t="s">
        <v>639</v>
      </c>
      <c r="G16" s="2" t="s">
        <v>1274</v>
      </c>
      <c r="H16" s="2" t="s">
        <v>1470</v>
      </c>
      <c r="I16" s="2">
        <v>46175.375</v>
      </c>
      <c r="J16" s="2" t="s">
        <v>1512</v>
      </c>
      <c r="K16" s="2" t="s">
        <v>1551</v>
      </c>
      <c r="L16" s="3" t="b">
        <f>NOT(H16="Intake")</f>
        <v>1</v>
      </c>
      <c r="M16" s="6"/>
      <c r="N16" s="2" t="s">
        <v>1284</v>
      </c>
      <c r="O16" s="6"/>
      <c r="P16" s="2" t="s">
        <v>1284</v>
      </c>
      <c r="Q16" s="2"/>
    </row>
    <row r="17">
      <c r="A17" s="2" t="s">
        <v>1573</v>
      </c>
      <c r="B17" s="3" t="str">
        <f>A17</f>
        <v>st-e-03-evidenceassessed-to-notactionable</v>
      </c>
      <c r="C17" s="3" t="str">
        <f>"/admin/state-machine/transitions/" &amp; A17</f>
        <v>/admin/state-machine/transitions/st-e-03-evidenceassessed-to-notactionable</v>
      </c>
      <c r="D17" s="2" t="s">
        <v>1451</v>
      </c>
      <c r="E17" s="2" t="s">
        <v>10</v>
      </c>
      <c r="F17" s="2" t="s">
        <v>639</v>
      </c>
      <c r="G17" s="2" t="s">
        <v>1470</v>
      </c>
      <c r="H17" s="2" t="s">
        <v>1480</v>
      </c>
      <c r="I17" s="2">
        <v>46176.375</v>
      </c>
      <c r="J17" s="2" t="s">
        <v>1512</v>
      </c>
      <c r="K17" s="2" t="s">
        <v>1574</v>
      </c>
      <c r="L17" s="3" t="b">
        <f>NOT(H17="Intake")</f>
        <v>1</v>
      </c>
      <c r="M17" s="6"/>
      <c r="N17" s="2" t="s">
        <v>1284</v>
      </c>
      <c r="O17" s="6"/>
      <c r="P17" s="2" t="s">
        <v>1284</v>
      </c>
      <c r="Q17" s="2"/>
    </row>
    <row r="18">
      <c r="A18" s="2" t="s">
        <v>1575</v>
      </c>
      <c r="B18" s="3" t="str">
        <f>A18</f>
        <v>st-f-02-intake-to-evidenceassessed</v>
      </c>
      <c r="C18" s="3" t="str">
        <f>"/admin/state-machine/transitions/" &amp; A18</f>
        <v>/admin/state-machine/transitions/st-f-02-intake-to-evidenceassessed</v>
      </c>
      <c r="D18" s="2" t="s">
        <v>1451</v>
      </c>
      <c r="E18" s="2" t="s">
        <v>10</v>
      </c>
      <c r="F18" s="2" t="s">
        <v>640</v>
      </c>
      <c r="G18" s="2" t="s">
        <v>1274</v>
      </c>
      <c r="H18" s="2" t="s">
        <v>1470</v>
      </c>
      <c r="I18" s="2">
        <v>46175.375</v>
      </c>
      <c r="J18" s="2" t="s">
        <v>1512</v>
      </c>
      <c r="K18" s="2" t="s">
        <v>1551</v>
      </c>
      <c r="L18" s="3" t="b">
        <f>NOT(H18="Intake")</f>
        <v>1</v>
      </c>
      <c r="M18" s="6"/>
      <c r="N18" s="2" t="s">
        <v>1284</v>
      </c>
      <c r="O18" s="6"/>
      <c r="P18" s="2" t="s">
        <v>1284</v>
      </c>
      <c r="Q18" s="2"/>
    </row>
    <row r="19">
      <c r="A19" s="2" t="s">
        <v>1576</v>
      </c>
      <c r="B19" s="3" t="str">
        <f>A19</f>
        <v>st-f-03-evidenceassessed-to-mechanismconfirmed</v>
      </c>
      <c r="C19" s="3" t="str">
        <f>"/admin/state-machine/transitions/" &amp; A19</f>
        <v>/admin/state-machine/transitions/st-f-03-evidenceassessed-to-mechanismconfirmed</v>
      </c>
      <c r="D19" s="2" t="s">
        <v>1451</v>
      </c>
      <c r="E19" s="2" t="s">
        <v>10</v>
      </c>
      <c r="F19" s="2" t="s">
        <v>640</v>
      </c>
      <c r="G19" s="2" t="s">
        <v>1470</v>
      </c>
      <c r="H19" s="2" t="s">
        <v>1472</v>
      </c>
      <c r="I19" s="2">
        <v>46176.375</v>
      </c>
      <c r="J19" s="2" t="s">
        <v>1512</v>
      </c>
      <c r="K19" s="2" t="s">
        <v>1553</v>
      </c>
      <c r="L19" s="3" t="b">
        <f>NOT(H19="Intake")</f>
        <v>1</v>
      </c>
      <c r="M19" s="6"/>
      <c r="N19" s="2" t="s">
        <v>1284</v>
      </c>
      <c r="O19" s="6"/>
      <c r="P19" s="2" t="s">
        <v>1284</v>
      </c>
      <c r="Q19" s="2"/>
    </row>
    <row r="20">
      <c r="A20" s="2" t="s">
        <v>1577</v>
      </c>
      <c r="B20" s="3" t="str">
        <f>A20</f>
        <v>st-f-04-mechanismconfirmed-to-calibrationchecked</v>
      </c>
      <c r="C20" s="3" t="str">
        <f>"/admin/state-machine/transitions/" &amp; A20</f>
        <v>/admin/state-machine/transitions/st-f-04-mechanismconfirmed-to-calibrationchecked</v>
      </c>
      <c r="D20" s="2" t="s">
        <v>1451</v>
      </c>
      <c r="E20" s="2" t="s">
        <v>10</v>
      </c>
      <c r="F20" s="2" t="s">
        <v>640</v>
      </c>
      <c r="G20" s="2" t="s">
        <v>1472</v>
      </c>
      <c r="H20" s="2" t="s">
        <v>1474</v>
      </c>
      <c r="I20" s="2">
        <v>46177.375</v>
      </c>
      <c r="J20" s="2" t="s">
        <v>1512</v>
      </c>
      <c r="K20" s="2" t="s">
        <v>1555</v>
      </c>
      <c r="L20" s="3" t="b">
        <f>NOT(H20="Intake")</f>
        <v>1</v>
      </c>
      <c r="M20" s="6"/>
      <c r="N20" s="2" t="s">
        <v>1284</v>
      </c>
      <c r="O20" s="6"/>
      <c r="P20" s="2" t="s">
        <v>1284</v>
      </c>
      <c r="Q20" s="2"/>
    </row>
    <row r="21">
      <c r="A21" s="2" t="s">
        <v>1578</v>
      </c>
      <c r="B21" s="3" t="str">
        <f>A21</f>
        <v>st-f-05-calibrationchecked-to-transportchecked</v>
      </c>
      <c r="C21" s="3" t="str">
        <f>"/admin/state-machine/transitions/" &amp; A21</f>
        <v>/admin/state-machine/transitions/st-f-05-calibrationchecked-to-transportchecked</v>
      </c>
      <c r="D21" s="2" t="s">
        <v>1451</v>
      </c>
      <c r="E21" s="2" t="s">
        <v>10</v>
      </c>
      <c r="F21" s="2" t="s">
        <v>640</v>
      </c>
      <c r="G21" s="2" t="s">
        <v>1474</v>
      </c>
      <c r="H21" s="2" t="s">
        <v>1476</v>
      </c>
      <c r="I21" s="2">
        <v>46178.375</v>
      </c>
      <c r="J21" s="2" t="s">
        <v>1512</v>
      </c>
      <c r="K21" s="2" t="s">
        <v>1557</v>
      </c>
      <c r="L21" s="3" t="b">
        <f>NOT(H21="Intake")</f>
        <v>1</v>
      </c>
      <c r="M21" s="6"/>
      <c r="N21" s="2" t="s">
        <v>1284</v>
      </c>
      <c r="O21" s="6"/>
      <c r="P21" s="2" t="s">
        <v>1284</v>
      </c>
      <c r="Q21" s="2"/>
    </row>
    <row r="22">
      <c r="A22" s="2" t="s">
        <v>1579</v>
      </c>
      <c r="B22" s="3" t="str">
        <f>A22</f>
        <v>st-f-06-transportchecked-to-notactionable</v>
      </c>
      <c r="C22" s="3" t="str">
        <f>"/admin/state-machine/transitions/" &amp; A22</f>
        <v>/admin/state-machine/transitions/st-f-06-transportchecked-to-notactionable</v>
      </c>
      <c r="D22" s="2" t="s">
        <v>1451</v>
      </c>
      <c r="E22" s="2" t="s">
        <v>10</v>
      </c>
      <c r="F22" s="2" t="s">
        <v>640</v>
      </c>
      <c r="G22" s="2" t="s">
        <v>1476</v>
      </c>
      <c r="H22" s="2" t="s">
        <v>1480</v>
      </c>
      <c r="I22" s="2">
        <v>46179.375</v>
      </c>
      <c r="J22" s="2" t="s">
        <v>1512</v>
      </c>
      <c r="K22" s="2" t="s">
        <v>1580</v>
      </c>
      <c r="L22" s="3" t="b">
        <f>NOT(H22="Intake")</f>
        <v>1</v>
      </c>
      <c r="M22" s="6"/>
      <c r="N22" s="2" t="s">
        <v>1284</v>
      </c>
      <c r="O22" s="6"/>
      <c r="P22" s="2" t="s">
        <v>1284</v>
      </c>
      <c r="Q22" s="2"/>
    </row>
    <row r="23">
      <c r="A23" s="2" t="s">
        <v>1581</v>
      </c>
      <c r="B23" s="3" t="str">
        <f>A23</f>
        <v>st-g-02-intake-to-evidenceassessed</v>
      </c>
      <c r="C23" s="3" t="str">
        <f>"/admin/state-machine/transitions/" &amp; A23</f>
        <v>/admin/state-machine/transitions/st-g-02-intake-to-evidenceassessed</v>
      </c>
      <c r="D23" s="2" t="s">
        <v>1451</v>
      </c>
      <c r="E23" s="2" t="s">
        <v>10</v>
      </c>
      <c r="F23" s="2" t="s">
        <v>641</v>
      </c>
      <c r="G23" s="2" t="s">
        <v>1274</v>
      </c>
      <c r="H23" s="2" t="s">
        <v>1470</v>
      </c>
      <c r="I23" s="2">
        <v>46175.375</v>
      </c>
      <c r="J23" s="2" t="s">
        <v>1512</v>
      </c>
      <c r="K23" s="2" t="s">
        <v>1551</v>
      </c>
      <c r="L23" s="3" t="b">
        <f>NOT(H23="Intake")</f>
        <v>1</v>
      </c>
      <c r="M23" s="6"/>
      <c r="N23" s="2" t="s">
        <v>1284</v>
      </c>
      <c r="O23" s="6"/>
      <c r="P23" s="2" t="s">
        <v>1284</v>
      </c>
      <c r="Q23" s="2"/>
    </row>
    <row r="24">
      <c r="A24" s="2" t="s">
        <v>1582</v>
      </c>
      <c r="B24" s="3" t="str">
        <f>A24</f>
        <v>st-g-03-evidenceassessed-to-mechanismconfirmed</v>
      </c>
      <c r="C24" s="3" t="str">
        <f>"/admin/state-machine/transitions/" &amp; A24</f>
        <v>/admin/state-machine/transitions/st-g-03-evidenceassessed-to-mechanismconfirmed</v>
      </c>
      <c r="D24" s="2" t="s">
        <v>1451</v>
      </c>
      <c r="E24" s="2" t="s">
        <v>10</v>
      </c>
      <c r="F24" s="2" t="s">
        <v>641</v>
      </c>
      <c r="G24" s="2" t="s">
        <v>1470</v>
      </c>
      <c r="H24" s="2" t="s">
        <v>1472</v>
      </c>
      <c r="I24" s="2">
        <v>46176.375</v>
      </c>
      <c r="J24" s="2" t="s">
        <v>1512</v>
      </c>
      <c r="K24" s="2" t="s">
        <v>1553</v>
      </c>
      <c r="L24" s="3" t="b">
        <f>NOT(H24="Intake")</f>
        <v>1</v>
      </c>
      <c r="M24" s="6"/>
      <c r="N24" s="2" t="s">
        <v>1284</v>
      </c>
      <c r="O24" s="6"/>
      <c r="P24" s="2" t="s">
        <v>1284</v>
      </c>
      <c r="Q24" s="2"/>
    </row>
    <row r="25">
      <c r="A25" s="2" t="s">
        <v>1583</v>
      </c>
      <c r="B25" s="3" t="str">
        <f>A25</f>
        <v>st-g-04-mechanismconfirmed-to-calibrationchecked</v>
      </c>
      <c r="C25" s="3" t="str">
        <f>"/admin/state-machine/transitions/" &amp; A25</f>
        <v>/admin/state-machine/transitions/st-g-04-mechanismconfirmed-to-calibrationchecked</v>
      </c>
      <c r="D25" s="2" t="s">
        <v>1451</v>
      </c>
      <c r="E25" s="2" t="s">
        <v>10</v>
      </c>
      <c r="F25" s="2" t="s">
        <v>641</v>
      </c>
      <c r="G25" s="2" t="s">
        <v>1472</v>
      </c>
      <c r="H25" s="2" t="s">
        <v>1474</v>
      </c>
      <c r="I25" s="2">
        <v>46177.375</v>
      </c>
      <c r="J25" s="2" t="s">
        <v>1512</v>
      </c>
      <c r="K25" s="2" t="s">
        <v>1555</v>
      </c>
      <c r="L25" s="3" t="b">
        <f>NOT(H25="Intake")</f>
        <v>1</v>
      </c>
      <c r="M25" s="6"/>
      <c r="N25" s="2" t="s">
        <v>1284</v>
      </c>
      <c r="O25" s="6"/>
      <c r="P25" s="2" t="s">
        <v>1284</v>
      </c>
      <c r="Q25" s="2"/>
    </row>
    <row r="26">
      <c r="A26" s="2" t="s">
        <v>1584</v>
      </c>
      <c r="B26" s="3" t="str">
        <f>A26</f>
        <v>st-g-05-calibrationchecked-to-transportchecked</v>
      </c>
      <c r="C26" s="3" t="str">
        <f>"/admin/state-machine/transitions/" &amp; A26</f>
        <v>/admin/state-machine/transitions/st-g-05-calibrationchecked-to-transportchecked</v>
      </c>
      <c r="D26" s="2" t="s">
        <v>1451</v>
      </c>
      <c r="E26" s="2" t="s">
        <v>10</v>
      </c>
      <c r="F26" s="2" t="s">
        <v>641</v>
      </c>
      <c r="G26" s="2" t="s">
        <v>1474</v>
      </c>
      <c r="H26" s="2" t="s">
        <v>1476</v>
      </c>
      <c r="I26" s="2">
        <v>46178.375</v>
      </c>
      <c r="J26" s="2" t="s">
        <v>1512</v>
      </c>
      <c r="K26" s="2" t="s">
        <v>1557</v>
      </c>
      <c r="L26" s="3" t="b">
        <f>NOT(H26="Intake")</f>
        <v>1</v>
      </c>
      <c r="M26" s="6"/>
      <c r="N26" s="2" t="s">
        <v>1284</v>
      </c>
      <c r="O26" s="6"/>
      <c r="P26" s="2" t="s">
        <v>1284</v>
      </c>
      <c r="Q26" s="2"/>
    </row>
    <row r="27">
      <c r="A27" s="2" t="s">
        <v>1585</v>
      </c>
      <c r="B27" s="3" t="str">
        <f>A27</f>
        <v>st-g-06-transportchecked-to-actionable</v>
      </c>
      <c r="C27" s="3" t="str">
        <f>"/admin/state-machine/transitions/" &amp; A27</f>
        <v>/admin/state-machine/transitions/st-g-06-transportchecked-to-actionable</v>
      </c>
      <c r="D27" s="2" t="s">
        <v>1451</v>
      </c>
      <c r="E27" s="2" t="s">
        <v>10</v>
      </c>
      <c r="F27" s="2" t="s">
        <v>641</v>
      </c>
      <c r="G27" s="2" t="s">
        <v>1476</v>
      </c>
      <c r="H27" s="2" t="s">
        <v>1478</v>
      </c>
      <c r="I27" s="2">
        <v>46179.375</v>
      </c>
      <c r="J27" s="2" t="s">
        <v>1512</v>
      </c>
      <c r="K27" s="2" t="s">
        <v>1586</v>
      </c>
      <c r="L27" s="3" t="b">
        <f>NOT(H27="Intake")</f>
        <v>1</v>
      </c>
      <c r="M27" s="6"/>
      <c r="N27" s="2" t="s">
        <v>1284</v>
      </c>
      <c r="O27" s="6"/>
      <c r="P27" s="2" t="s">
        <v>1284</v>
      </c>
      <c r="Q27" s="2"/>
    </row>
    <row r="28">
      <c r="A28" s="2" t="s">
        <v>1587</v>
      </c>
      <c r="B28" s="3" t="str">
        <f>A28</f>
        <v>st-ind-a-reyes-presymptomaticautoimmunity-1</v>
      </c>
      <c r="C28" s="3" t="str">
        <f>"/admin/state-machine/transitions/" &amp; A28</f>
        <v>/admin/state-machine/transitions/st-ind-a-reyes-presymptomaticautoimmunity-1</v>
      </c>
      <c r="D28" s="2" t="s">
        <v>1454</v>
      </c>
      <c r="E28" s="2" t="s">
        <v>73</v>
      </c>
      <c r="F28" s="2" t="s">
        <v>145</v>
      </c>
      <c r="G28" s="2"/>
      <c r="H28" s="2" t="s">
        <v>1485</v>
      </c>
      <c r="I28" s="2">
        <v>45901</v>
      </c>
      <c r="J28" s="2" t="s">
        <v>1512</v>
      </c>
      <c r="K28" s="2" t="s">
        <v>1588</v>
      </c>
      <c r="L28" s="3" t="b">
        <f>NOT(H28="Intake")</f>
        <v>1</v>
      </c>
      <c r="M28" s="6">
        <v>46193</v>
      </c>
      <c r="N28" s="2" t="s">
        <v>1457</v>
      </c>
      <c r="O28" s="6">
        <v>46193</v>
      </c>
      <c r="P28" s="2" t="s">
        <v>1457</v>
      </c>
      <c r="Q28" s="2" t="s">
        <v>1458</v>
      </c>
    </row>
    <row r="29">
      <c r="A29" s="2" t="s">
        <v>1589</v>
      </c>
      <c r="B29" s="3" t="str">
        <f>A29</f>
        <v>st-ind-a-reyes-serologicactive-2</v>
      </c>
      <c r="C29" s="3" t="str">
        <f>"/admin/state-machine/transitions/" &amp; A29</f>
        <v>/admin/state-machine/transitions/st-ind-a-reyes-serologicactive-2</v>
      </c>
      <c r="D29" s="2" t="s">
        <v>1454</v>
      </c>
      <c r="E29" s="2" t="s">
        <v>73</v>
      </c>
      <c r="F29" s="2" t="s">
        <v>145</v>
      </c>
      <c r="G29" s="2" t="s">
        <v>1485</v>
      </c>
      <c r="H29" s="2" t="s">
        <v>1488</v>
      </c>
      <c r="I29" s="2">
        <v>45992</v>
      </c>
      <c r="J29" s="2" t="s">
        <v>1512</v>
      </c>
      <c r="K29" s="2" t="s">
        <v>1590</v>
      </c>
      <c r="L29" s="3" t="b">
        <f>NOT(H29="Intake")</f>
        <v>1</v>
      </c>
      <c r="M29" s="6">
        <v>46193</v>
      </c>
      <c r="N29" s="2" t="s">
        <v>1457</v>
      </c>
      <c r="O29" s="6">
        <v>46193</v>
      </c>
      <c r="P29" s="2" t="s">
        <v>1457</v>
      </c>
      <c r="Q29" s="2" t="s">
        <v>1458</v>
      </c>
    </row>
    <row r="30">
      <c r="A30" s="2" t="s">
        <v>1591</v>
      </c>
      <c r="B30" s="3" t="str">
        <f>A30</f>
        <v>st-ind-b-okafor-presymptomaticautoimmunity-1</v>
      </c>
      <c r="C30" s="3" t="str">
        <f>"/admin/state-machine/transitions/" &amp; A30</f>
        <v>/admin/state-machine/transitions/st-ind-b-okafor-presymptomaticautoimmunity-1</v>
      </c>
      <c r="D30" s="2" t="s">
        <v>1454</v>
      </c>
      <c r="E30" s="2" t="s">
        <v>73</v>
      </c>
      <c r="F30" s="2" t="s">
        <v>150</v>
      </c>
      <c r="G30" s="2"/>
      <c r="H30" s="2" t="s">
        <v>1485</v>
      </c>
      <c r="I30" s="2">
        <v>45884</v>
      </c>
      <c r="J30" s="2" t="s">
        <v>1512</v>
      </c>
      <c r="K30" s="2" t="s">
        <v>1588</v>
      </c>
      <c r="L30" s="3" t="b">
        <f>NOT(H30="Intake")</f>
        <v>1</v>
      </c>
      <c r="M30" s="6">
        <v>46193</v>
      </c>
      <c r="N30" s="2" t="s">
        <v>1457</v>
      </c>
      <c r="O30" s="6">
        <v>46193</v>
      </c>
      <c r="P30" s="2" t="s">
        <v>1457</v>
      </c>
      <c r="Q30" s="2" t="s">
        <v>1458</v>
      </c>
    </row>
    <row r="31">
      <c r="A31" s="2" t="s">
        <v>1592</v>
      </c>
      <c r="B31" s="3" t="str">
        <f>A31</f>
        <v>st-ind-c-chen-presymptomaticautoimmunity-1</v>
      </c>
      <c r="C31" s="3" t="str">
        <f>"/admin/state-machine/transitions/" &amp; A31</f>
        <v>/admin/state-machine/transitions/st-ind-c-chen-presymptomaticautoimmunity-1</v>
      </c>
      <c r="D31" s="2" t="s">
        <v>1454</v>
      </c>
      <c r="E31" s="2" t="s">
        <v>73</v>
      </c>
      <c r="F31" s="2" t="s">
        <v>154</v>
      </c>
      <c r="G31" s="2"/>
      <c r="H31" s="2" t="s">
        <v>1485</v>
      </c>
      <c r="I31" s="2">
        <v>45839</v>
      </c>
      <c r="J31" s="2" t="s">
        <v>1512</v>
      </c>
      <c r="K31" s="2" t="s">
        <v>1588</v>
      </c>
      <c r="L31" s="3" t="b">
        <f>NOT(H31="Intake")</f>
        <v>1</v>
      </c>
      <c r="M31" s="6">
        <v>46193</v>
      </c>
      <c r="N31" s="2" t="s">
        <v>1457</v>
      </c>
      <c r="O31" s="6">
        <v>46193</v>
      </c>
      <c r="P31" s="2" t="s">
        <v>1457</v>
      </c>
      <c r="Q31" s="2" t="s">
        <v>1458</v>
      </c>
    </row>
    <row r="32">
      <c r="A32" s="2" t="s">
        <v>1593</v>
      </c>
      <c r="B32" s="3" t="str">
        <f>A32</f>
        <v>st-ind-c-chen-serologicactive-2</v>
      </c>
      <c r="C32" s="3" t="str">
        <f>"/admin/state-machine/transitions/" &amp; A32</f>
        <v>/admin/state-machine/transitions/st-ind-c-chen-serologicactive-2</v>
      </c>
      <c r="D32" s="2" t="s">
        <v>1454</v>
      </c>
      <c r="E32" s="2" t="s">
        <v>73</v>
      </c>
      <c r="F32" s="2" t="s">
        <v>154</v>
      </c>
      <c r="G32" s="2" t="s">
        <v>1485</v>
      </c>
      <c r="H32" s="2" t="s">
        <v>1488</v>
      </c>
      <c r="I32" s="2">
        <v>45931</v>
      </c>
      <c r="J32" s="2" t="s">
        <v>1512</v>
      </c>
      <c r="K32" s="2" t="s">
        <v>1590</v>
      </c>
      <c r="L32" s="3" t="b">
        <f>NOT(H32="Intake")</f>
        <v>1</v>
      </c>
      <c r="M32" s="6">
        <v>46193</v>
      </c>
      <c r="N32" s="2" t="s">
        <v>1457</v>
      </c>
      <c r="O32" s="6">
        <v>46193</v>
      </c>
      <c r="P32" s="2" t="s">
        <v>1457</v>
      </c>
      <c r="Q32" s="2" t="s">
        <v>1458</v>
      </c>
    </row>
    <row r="33">
      <c r="A33" s="2" t="s">
        <v>1594</v>
      </c>
      <c r="B33" s="3" t="str">
        <f>A33</f>
        <v>st-ind-d-santos-presymptomaticautoimmunity-1</v>
      </c>
      <c r="C33" s="3" t="str">
        <f>"/admin/state-machine/transitions/" &amp; A33</f>
        <v>/admin/state-machine/transitions/st-ind-d-santos-presymptomaticautoimmunity-1</v>
      </c>
      <c r="D33" s="2" t="s">
        <v>1454</v>
      </c>
      <c r="E33" s="2" t="s">
        <v>73</v>
      </c>
      <c r="F33" s="2" t="s">
        <v>159</v>
      </c>
      <c r="G33" s="2"/>
      <c r="H33" s="2" t="s">
        <v>1485</v>
      </c>
      <c r="I33" s="2">
        <v>45809</v>
      </c>
      <c r="J33" s="2" t="s">
        <v>1512</v>
      </c>
      <c r="K33" s="2" t="s">
        <v>1588</v>
      </c>
      <c r="L33" s="3" t="b">
        <f>NOT(H33="Intake")</f>
        <v>1</v>
      </c>
      <c r="M33" s="6">
        <v>46193</v>
      </c>
      <c r="N33" s="2" t="s">
        <v>1457</v>
      </c>
      <c r="O33" s="6">
        <v>46193</v>
      </c>
      <c r="P33" s="2" t="s">
        <v>1457</v>
      </c>
      <c r="Q33" s="2" t="s">
        <v>1458</v>
      </c>
    </row>
    <row r="34">
      <c r="A34" s="2" t="s">
        <v>1595</v>
      </c>
      <c r="B34" s="3" t="str">
        <f>A34</f>
        <v>st-ind-d-santos-renalflarerisk-2</v>
      </c>
      <c r="C34" s="3" t="str">
        <f>"/admin/state-machine/transitions/" &amp; A34</f>
        <v>/admin/state-machine/transitions/st-ind-d-santos-renalflarerisk-2</v>
      </c>
      <c r="D34" s="2" t="s">
        <v>1454</v>
      </c>
      <c r="E34" s="2" t="s">
        <v>73</v>
      </c>
      <c r="F34" s="2" t="s">
        <v>159</v>
      </c>
      <c r="G34" s="2" t="s">
        <v>1485</v>
      </c>
      <c r="H34" s="2" t="s">
        <v>1494</v>
      </c>
      <c r="I34" s="2">
        <v>45901</v>
      </c>
      <c r="J34" s="2" t="s">
        <v>1512</v>
      </c>
      <c r="K34" s="2" t="s">
        <v>1596</v>
      </c>
      <c r="L34" s="3" t="b">
        <f>NOT(H34="Intake")</f>
        <v>1</v>
      </c>
      <c r="M34" s="6">
        <v>46193</v>
      </c>
      <c r="N34" s="2" t="s">
        <v>1457</v>
      </c>
      <c r="O34" s="6">
        <v>46193</v>
      </c>
      <c r="P34" s="2" t="s">
        <v>1457</v>
      </c>
      <c r="Q34" s="2" t="s">
        <v>1458</v>
      </c>
    </row>
    <row r="35">
      <c r="A35" s="2" t="s">
        <v>1597</v>
      </c>
      <c r="B35" s="3" t="str">
        <f>A35</f>
        <v>st-ind-d-santos-biopsyindicated-3</v>
      </c>
      <c r="C35" s="3" t="str">
        <f>"/admin/state-machine/transitions/" &amp; A35</f>
        <v>/admin/state-machine/transitions/st-ind-d-santos-biopsyindicated-3</v>
      </c>
      <c r="D35" s="2" t="s">
        <v>1454</v>
      </c>
      <c r="E35" s="2" t="s">
        <v>73</v>
      </c>
      <c r="F35" s="2" t="s">
        <v>159</v>
      </c>
      <c r="G35" s="2" t="s">
        <v>1494</v>
      </c>
      <c r="H35" s="2" t="s">
        <v>1497</v>
      </c>
      <c r="I35" s="2">
        <v>45992</v>
      </c>
      <c r="J35" s="2" t="s">
        <v>1512</v>
      </c>
      <c r="K35" s="2" t="s">
        <v>1598</v>
      </c>
      <c r="L35" s="3" t="b">
        <f>NOT(H35="Intake")</f>
        <v>1</v>
      </c>
      <c r="M35" s="6">
        <v>46193</v>
      </c>
      <c r="N35" s="2" t="s">
        <v>1457</v>
      </c>
      <c r="O35" s="6">
        <v>46193</v>
      </c>
      <c r="P35" s="2" t="s">
        <v>1457</v>
      </c>
      <c r="Q35" s="2" t="s">
        <v>1458</v>
      </c>
    </row>
    <row r="36">
      <c r="A36" s="2" t="s">
        <v>1599</v>
      </c>
      <c r="B36" s="3" t="str">
        <f>A36</f>
        <v>st-ind-e-mensah-presymptomaticautoimmunity-1</v>
      </c>
      <c r="C36" s="3" t="str">
        <f>"/admin/state-machine/transitions/" &amp; A36</f>
        <v>/admin/state-machine/transitions/st-ind-e-mensah-presymptomaticautoimmunity-1</v>
      </c>
      <c r="D36" s="2" t="s">
        <v>1454</v>
      </c>
      <c r="E36" s="2" t="s">
        <v>73</v>
      </c>
      <c r="F36" s="2" t="s">
        <v>163</v>
      </c>
      <c r="G36" s="2"/>
      <c r="H36" s="2" t="s">
        <v>1485</v>
      </c>
      <c r="I36" s="2">
        <v>45870</v>
      </c>
      <c r="J36" s="2" t="s">
        <v>1512</v>
      </c>
      <c r="K36" s="2" t="s">
        <v>1588</v>
      </c>
      <c r="L36" s="3" t="b">
        <f>NOT(H36="Intake")</f>
        <v>1</v>
      </c>
      <c r="M36" s="6">
        <v>46193</v>
      </c>
      <c r="N36" s="2" t="s">
        <v>1457</v>
      </c>
      <c r="O36" s="6">
        <v>46193</v>
      </c>
      <c r="P36" s="2" t="s">
        <v>1457</v>
      </c>
      <c r="Q36" s="2" t="s">
        <v>1458</v>
      </c>
    </row>
    <row r="37">
      <c r="A37" s="2" t="s">
        <v>1600</v>
      </c>
      <c r="B37" s="3" t="str">
        <f>A37</f>
        <v>st-ind-f-haidar-presymptomaticautoimmunity-1</v>
      </c>
      <c r="C37" s="3" t="str">
        <f>"/admin/state-machine/transitions/" &amp; A37</f>
        <v>/admin/state-machine/transitions/st-ind-f-haidar-presymptomaticautoimmunity-1</v>
      </c>
      <c r="D37" s="2" t="s">
        <v>1454</v>
      </c>
      <c r="E37" s="2" t="s">
        <v>73</v>
      </c>
      <c r="F37" s="2" t="s">
        <v>168</v>
      </c>
      <c r="G37" s="2"/>
      <c r="H37" s="2" t="s">
        <v>1485</v>
      </c>
      <c r="I37" s="2">
        <v>45910</v>
      </c>
      <c r="J37" s="2" t="s">
        <v>1512</v>
      </c>
      <c r="K37" s="2" t="s">
        <v>1588</v>
      </c>
      <c r="L37" s="3" t="b">
        <f>NOT(H37="Intake")</f>
        <v>1</v>
      </c>
      <c r="M37" s="6">
        <v>46193</v>
      </c>
      <c r="N37" s="2" t="s">
        <v>1457</v>
      </c>
      <c r="O37" s="6">
        <v>46193</v>
      </c>
      <c r="P37" s="2" t="s">
        <v>1457</v>
      </c>
      <c r="Q37" s="2" t="s">
        <v>1458</v>
      </c>
    </row>
    <row r="38">
      <c r="A38" s="2" t="s">
        <v>1601</v>
      </c>
      <c r="B38" s="3" t="str">
        <f>A38</f>
        <v>st-ind-g-lin-presymptomaticautoimmunity-1</v>
      </c>
      <c r="C38" s="3" t="str">
        <f>"/admin/state-machine/transitions/" &amp; A38</f>
        <v>/admin/state-machine/transitions/st-ind-g-lin-presymptomaticautoimmunity-1</v>
      </c>
      <c r="D38" s="2" t="s">
        <v>1454</v>
      </c>
      <c r="E38" s="2" t="s">
        <v>73</v>
      </c>
      <c r="F38" s="2" t="s">
        <v>173</v>
      </c>
      <c r="G38" s="2"/>
      <c r="H38" s="2" t="s">
        <v>1485</v>
      </c>
      <c r="I38" s="2">
        <v>45905</v>
      </c>
      <c r="J38" s="2" t="s">
        <v>1512</v>
      </c>
      <c r="K38" s="2" t="s">
        <v>1588</v>
      </c>
      <c r="L38" s="3" t="b">
        <f>NOT(H38="Intake")</f>
        <v>1</v>
      </c>
      <c r="M38" s="6">
        <v>46193</v>
      </c>
      <c r="N38" s="2" t="s">
        <v>1457</v>
      </c>
      <c r="O38" s="6">
        <v>46193</v>
      </c>
      <c r="P38" s="2" t="s">
        <v>1457</v>
      </c>
      <c r="Q38" s="2" t="s">
        <v>1458</v>
      </c>
    </row>
    <row r="39">
      <c r="A39" s="2" t="s">
        <v>1602</v>
      </c>
      <c r="B39" s="3" t="str">
        <f>A39</f>
        <v>st-ind-h-yamamoto-presymptomaticautoimmunity-1</v>
      </c>
      <c r="C39" s="3" t="str">
        <f>"/admin/state-machine/transitions/" &amp; A39</f>
        <v>/admin/state-machine/transitions/st-ind-h-yamamoto-presymptomaticautoimmunity-1</v>
      </c>
      <c r="D39" s="2" t="s">
        <v>1454</v>
      </c>
      <c r="E39" s="2" t="s">
        <v>73</v>
      </c>
      <c r="F39" s="2" t="s">
        <v>177</v>
      </c>
      <c r="G39" s="2"/>
      <c r="H39" s="2" t="s">
        <v>1485</v>
      </c>
      <c r="I39" s="2">
        <v>45858</v>
      </c>
      <c r="J39" s="2" t="s">
        <v>1512</v>
      </c>
      <c r="K39" s="2" t="s">
        <v>1588</v>
      </c>
      <c r="L39" s="3" t="b">
        <f>NOT(H39="Intake")</f>
        <v>1</v>
      </c>
      <c r="M39" s="6">
        <v>46193</v>
      </c>
      <c r="N39" s="2" t="s">
        <v>1457</v>
      </c>
      <c r="O39" s="6">
        <v>46193</v>
      </c>
      <c r="P39" s="2" t="s">
        <v>1457</v>
      </c>
      <c r="Q39" s="2" t="s">
        <v>1458</v>
      </c>
    </row>
    <row r="40">
      <c r="A40" s="2" t="s">
        <v>1603</v>
      </c>
      <c r="B40" s="3" t="str">
        <f>A40</f>
        <v>st-ind-h-yamamoto-earlynephritis-2</v>
      </c>
      <c r="C40" s="3" t="str">
        <f>"/admin/state-machine/transitions/" &amp; A40</f>
        <v>/admin/state-machine/transitions/st-ind-h-yamamoto-earlynephritis-2</v>
      </c>
      <c r="D40" s="2" t="s">
        <v>1454</v>
      </c>
      <c r="E40" s="2" t="s">
        <v>73</v>
      </c>
      <c r="F40" s="2" t="s">
        <v>177</v>
      </c>
      <c r="G40" s="2" t="s">
        <v>1485</v>
      </c>
      <c r="H40" s="2" t="s">
        <v>1491</v>
      </c>
      <c r="I40" s="2">
        <v>45950</v>
      </c>
      <c r="J40" s="2" t="s">
        <v>1512</v>
      </c>
      <c r="K40" s="2" t="s">
        <v>1604</v>
      </c>
      <c r="L40" s="3" t="b">
        <f>NOT(H40="Intake")</f>
        <v>1</v>
      </c>
      <c r="M40" s="6">
        <v>46193</v>
      </c>
      <c r="N40" s="2" t="s">
        <v>1457</v>
      </c>
      <c r="O40" s="6">
        <v>46193</v>
      </c>
      <c r="P40" s="2" t="s">
        <v>1457</v>
      </c>
      <c r="Q40" s="2" t="s">
        <v>1458</v>
      </c>
    </row>
    <row r="41">
      <c r="A41" s="2" t="s">
        <v>1605</v>
      </c>
      <c r="B41" s="3" t="str">
        <f>A41</f>
        <v>st-pred-h-intake-1</v>
      </c>
      <c r="C41" s="3" t="str">
        <f>"/admin/state-machine/transitions/" &amp; A41</f>
        <v>/admin/state-machine/transitions/st-pred-h-intake-1</v>
      </c>
      <c r="D41" s="2" t="s">
        <v>1451</v>
      </c>
      <c r="E41" s="2" t="s">
        <v>10</v>
      </c>
      <c r="F41" s="2" t="s">
        <v>642</v>
      </c>
      <c r="G41" s="2"/>
      <c r="H41" s="2" t="s">
        <v>1274</v>
      </c>
      <c r="I41" s="2">
        <v>46175.375</v>
      </c>
      <c r="J41" s="2" t="s">
        <v>1512</v>
      </c>
      <c r="K41" s="2" t="s">
        <v>1606</v>
      </c>
      <c r="L41" s="3" t="b">
        <f>NOT(H41="Intake")</f>
        <v>0</v>
      </c>
      <c r="M41" s="6">
        <v>46193</v>
      </c>
      <c r="N41" s="2" t="s">
        <v>1607</v>
      </c>
      <c r="O41" s="6">
        <v>46193</v>
      </c>
      <c r="P41" s="2" t="s">
        <v>1607</v>
      </c>
      <c r="Q41" s="2" t="s">
        <v>1458</v>
      </c>
    </row>
    <row r="42">
      <c r="A42" s="2" t="s">
        <v>1608</v>
      </c>
      <c r="B42" s="3" t="str">
        <f>A42</f>
        <v>st-pred-h-evidenceassessed-2</v>
      </c>
      <c r="C42" s="3" t="str">
        <f>"/admin/state-machine/transitions/" &amp; A42</f>
        <v>/admin/state-machine/transitions/st-pred-h-evidenceassessed-2</v>
      </c>
      <c r="D42" s="2" t="s">
        <v>1451</v>
      </c>
      <c r="E42" s="2" t="s">
        <v>10</v>
      </c>
      <c r="F42" s="2" t="s">
        <v>642</v>
      </c>
      <c r="G42" s="2" t="s">
        <v>1274</v>
      </c>
      <c r="H42" s="2" t="s">
        <v>1470</v>
      </c>
      <c r="I42" s="2">
        <v>46176.375</v>
      </c>
      <c r="J42" s="2" t="s">
        <v>1512</v>
      </c>
      <c r="K42" s="2" t="s">
        <v>1609</v>
      </c>
      <c r="L42" s="3" t="b">
        <f>NOT(H42="Intake")</f>
        <v>1</v>
      </c>
      <c r="M42" s="6">
        <v>46193</v>
      </c>
      <c r="N42" s="2" t="s">
        <v>1607</v>
      </c>
      <c r="O42" s="6">
        <v>46193</v>
      </c>
      <c r="P42" s="2" t="s">
        <v>1607</v>
      </c>
      <c r="Q42" s="2" t="s">
        <v>1458</v>
      </c>
    </row>
    <row r="43">
      <c r="A43" s="2" t="s">
        <v>1610</v>
      </c>
      <c r="B43" s="3" t="str">
        <f>A43</f>
        <v>st-pred-h-mechanismconfirmed-3</v>
      </c>
      <c r="C43" s="3" t="str">
        <f>"/admin/state-machine/transitions/" &amp; A43</f>
        <v>/admin/state-machine/transitions/st-pred-h-mechanismconfirmed-3</v>
      </c>
      <c r="D43" s="2" t="s">
        <v>1451</v>
      </c>
      <c r="E43" s="2" t="s">
        <v>10</v>
      </c>
      <c r="F43" s="2" t="s">
        <v>642</v>
      </c>
      <c r="G43" s="2" t="s">
        <v>1470</v>
      </c>
      <c r="H43" s="2" t="s">
        <v>1472</v>
      </c>
      <c r="I43" s="2">
        <v>46177.375</v>
      </c>
      <c r="J43" s="2" t="s">
        <v>1512</v>
      </c>
      <c r="K43" s="2" t="s">
        <v>1611</v>
      </c>
      <c r="L43" s="3" t="b">
        <f>NOT(H43="Intake")</f>
        <v>1</v>
      </c>
      <c r="M43" s="6">
        <v>46193</v>
      </c>
      <c r="N43" s="2" t="s">
        <v>1607</v>
      </c>
      <c r="O43" s="6">
        <v>46193</v>
      </c>
      <c r="P43" s="2" t="s">
        <v>1607</v>
      </c>
      <c r="Q43" s="2" t="s">
        <v>1458</v>
      </c>
    </row>
    <row r="44">
      <c r="A44" s="2" t="s">
        <v>1612</v>
      </c>
      <c r="B44" s="3" t="str">
        <f>A44</f>
        <v>st-pred-h-calibrationchecked-4</v>
      </c>
      <c r="C44" s="3" t="str">
        <f>"/admin/state-machine/transitions/" &amp; A44</f>
        <v>/admin/state-machine/transitions/st-pred-h-calibrationchecked-4</v>
      </c>
      <c r="D44" s="2" t="s">
        <v>1451</v>
      </c>
      <c r="E44" s="2" t="s">
        <v>10</v>
      </c>
      <c r="F44" s="2" t="s">
        <v>642</v>
      </c>
      <c r="G44" s="2" t="s">
        <v>1472</v>
      </c>
      <c r="H44" s="2" t="s">
        <v>1474</v>
      </c>
      <c r="I44" s="2">
        <v>46178.375</v>
      </c>
      <c r="J44" s="2" t="s">
        <v>1512</v>
      </c>
      <c r="K44" s="2" t="s">
        <v>1613</v>
      </c>
      <c r="L44" s="3" t="b">
        <f>NOT(H44="Intake")</f>
        <v>1</v>
      </c>
      <c r="M44" s="6">
        <v>46193</v>
      </c>
      <c r="N44" s="2" t="s">
        <v>1607</v>
      </c>
      <c r="O44" s="6">
        <v>46193</v>
      </c>
      <c r="P44" s="2" t="s">
        <v>1607</v>
      </c>
      <c r="Q44" s="2" t="s">
        <v>1458</v>
      </c>
    </row>
    <row r="45">
      <c r="A45" s="2" t="s">
        <v>1614</v>
      </c>
      <c r="B45" s="3" t="str">
        <f>A45</f>
        <v>st-pred-h-transportchecked-5</v>
      </c>
      <c r="C45" s="3" t="str">
        <f>"/admin/state-machine/transitions/" &amp; A45</f>
        <v>/admin/state-machine/transitions/st-pred-h-transportchecked-5</v>
      </c>
      <c r="D45" s="2" t="s">
        <v>1451</v>
      </c>
      <c r="E45" s="2" t="s">
        <v>10</v>
      </c>
      <c r="F45" s="2" t="s">
        <v>642</v>
      </c>
      <c r="G45" s="2" t="s">
        <v>1474</v>
      </c>
      <c r="H45" s="2" t="s">
        <v>1476</v>
      </c>
      <c r="I45" s="2">
        <v>46179.375</v>
      </c>
      <c r="J45" s="2" t="s">
        <v>1512</v>
      </c>
      <c r="K45" s="2" t="s">
        <v>1615</v>
      </c>
      <c r="L45" s="3" t="b">
        <f>NOT(H45="Intake")</f>
        <v>1</v>
      </c>
      <c r="M45" s="6">
        <v>46193</v>
      </c>
      <c r="N45" s="2" t="s">
        <v>1607</v>
      </c>
      <c r="O45" s="6">
        <v>46193</v>
      </c>
      <c r="P45" s="2" t="s">
        <v>1607</v>
      </c>
      <c r="Q45" s="2" t="s">
        <v>1458</v>
      </c>
    </row>
    <row r="46">
      <c r="A46" s="2" t="s">
        <v>1616</v>
      </c>
      <c r="B46" s="3" t="str">
        <f>A46</f>
        <v>st-pred-h-actionable-6</v>
      </c>
      <c r="C46" s="3" t="str">
        <f>"/admin/state-machine/transitions/" &amp; A46</f>
        <v>/admin/state-machine/transitions/st-pred-h-actionable-6</v>
      </c>
      <c r="D46" s="2" t="s">
        <v>1451</v>
      </c>
      <c r="E46" s="2" t="s">
        <v>10</v>
      </c>
      <c r="F46" s="2" t="s">
        <v>642</v>
      </c>
      <c r="G46" s="2" t="s">
        <v>1476</v>
      </c>
      <c r="H46" s="2" t="s">
        <v>1478</v>
      </c>
      <c r="I46" s="2">
        <v>46180.375</v>
      </c>
      <c r="J46" s="2" t="s">
        <v>1512</v>
      </c>
      <c r="K46" s="2" t="s">
        <v>1617</v>
      </c>
      <c r="L46" s="3" t="b">
        <f>NOT(H46="Intake")</f>
        <v>1</v>
      </c>
      <c r="M46" s="6">
        <v>46193</v>
      </c>
      <c r="N46" s="2" t="s">
        <v>1607</v>
      </c>
      <c r="O46" s="6">
        <v>46193</v>
      </c>
      <c r="P46" s="2" t="s">
        <v>1607</v>
      </c>
      <c r="Q46" s="2" t="s">
        <v>1458</v>
      </c>
    </row>
    <row r="47">
      <c r="A47" s="2" t="s">
        <v>1618</v>
      </c>
      <c r="B47" s="3" t="str">
        <f>A47</f>
        <v>st-ind-i-conteh-earlynephritis-1</v>
      </c>
      <c r="C47" s="3" t="str">
        <f>"/admin/state-machine/transitions/" &amp; A47</f>
        <v>/admin/state-machine/transitions/st-ind-i-conteh-earlynephritis-1</v>
      </c>
      <c r="D47" s="2" t="s">
        <v>1454</v>
      </c>
      <c r="E47" s="2" t="s">
        <v>73</v>
      </c>
      <c r="F47" s="2" t="s">
        <v>181</v>
      </c>
      <c r="G47" s="2"/>
      <c r="H47" s="2" t="s">
        <v>1491</v>
      </c>
      <c r="I47" s="2">
        <v>45823</v>
      </c>
      <c r="J47" s="2" t="s">
        <v>1512</v>
      </c>
      <c r="K47" s="2" t="s">
        <v>1604</v>
      </c>
      <c r="L47" s="3" t="b">
        <f>NOT(H47="Intake")</f>
        <v>1</v>
      </c>
      <c r="M47" s="6">
        <v>46193</v>
      </c>
      <c r="N47" s="2" t="s">
        <v>1457</v>
      </c>
      <c r="O47" s="6">
        <v>46193</v>
      </c>
      <c r="P47" s="2" t="s">
        <v>1457</v>
      </c>
      <c r="Q47" s="2" t="s">
        <v>1458</v>
      </c>
    </row>
    <row r="48">
      <c r="A48" s="2" t="s">
        <v>1619</v>
      </c>
      <c r="B48" s="3" t="str">
        <f>A48</f>
        <v>st-ind-i-conteh-renalflarerisk-2</v>
      </c>
      <c r="C48" s="3" t="str">
        <f>"/admin/state-machine/transitions/" &amp; A48</f>
        <v>/admin/state-machine/transitions/st-ind-i-conteh-renalflarerisk-2</v>
      </c>
      <c r="D48" s="2" t="s">
        <v>1454</v>
      </c>
      <c r="E48" s="2" t="s">
        <v>73</v>
      </c>
      <c r="F48" s="2" t="s">
        <v>181</v>
      </c>
      <c r="G48" s="2" t="s">
        <v>1491</v>
      </c>
      <c r="H48" s="2" t="s">
        <v>1494</v>
      </c>
      <c r="I48" s="2">
        <v>45915</v>
      </c>
      <c r="J48" s="2" t="s">
        <v>1512</v>
      </c>
      <c r="K48" s="2" t="s">
        <v>1596</v>
      </c>
      <c r="L48" s="3" t="b">
        <f>NOT(H48="Intake")</f>
        <v>1</v>
      </c>
      <c r="M48" s="6">
        <v>46193</v>
      </c>
      <c r="N48" s="2" t="s">
        <v>1457</v>
      </c>
      <c r="O48" s="6">
        <v>46193</v>
      </c>
      <c r="P48" s="2" t="s">
        <v>1457</v>
      </c>
      <c r="Q48" s="2" t="s">
        <v>1458</v>
      </c>
    </row>
    <row r="49">
      <c r="A49" s="2" t="s">
        <v>1620</v>
      </c>
      <c r="B49" s="3" t="str">
        <f>A49</f>
        <v>st-pred-i-intake-1</v>
      </c>
      <c r="C49" s="3" t="str">
        <f>"/admin/state-machine/transitions/" &amp; A49</f>
        <v>/admin/state-machine/transitions/st-pred-i-intake-1</v>
      </c>
      <c r="D49" s="2" t="s">
        <v>1451</v>
      </c>
      <c r="E49" s="2" t="s">
        <v>10</v>
      </c>
      <c r="F49" s="2" t="s">
        <v>643</v>
      </c>
      <c r="G49" s="2"/>
      <c r="H49" s="2" t="s">
        <v>1274</v>
      </c>
      <c r="I49" s="2">
        <v>46175.375</v>
      </c>
      <c r="J49" s="2" t="s">
        <v>1512</v>
      </c>
      <c r="K49" s="2" t="s">
        <v>1606</v>
      </c>
      <c r="L49" s="3" t="b">
        <f>NOT(H49="Intake")</f>
        <v>0</v>
      </c>
      <c r="M49" s="6">
        <v>46193</v>
      </c>
      <c r="N49" s="2" t="s">
        <v>1607</v>
      </c>
      <c r="O49" s="6">
        <v>46193</v>
      </c>
      <c r="P49" s="2" t="s">
        <v>1607</v>
      </c>
      <c r="Q49" s="2" t="s">
        <v>1458</v>
      </c>
    </row>
    <row r="50">
      <c r="A50" s="2" t="s">
        <v>1621</v>
      </c>
      <c r="B50" s="3" t="str">
        <f>A50</f>
        <v>st-pred-i-evidenceassessed-2</v>
      </c>
      <c r="C50" s="3" t="str">
        <f>"/admin/state-machine/transitions/" &amp; A50</f>
        <v>/admin/state-machine/transitions/st-pred-i-evidenceassessed-2</v>
      </c>
      <c r="D50" s="2" t="s">
        <v>1451</v>
      </c>
      <c r="E50" s="2" t="s">
        <v>10</v>
      </c>
      <c r="F50" s="2" t="s">
        <v>643</v>
      </c>
      <c r="G50" s="2" t="s">
        <v>1274</v>
      </c>
      <c r="H50" s="2" t="s">
        <v>1470</v>
      </c>
      <c r="I50" s="2">
        <v>46176.375</v>
      </c>
      <c r="J50" s="2" t="s">
        <v>1512</v>
      </c>
      <c r="K50" s="2" t="s">
        <v>1609</v>
      </c>
      <c r="L50" s="3" t="b">
        <f>NOT(H50="Intake")</f>
        <v>1</v>
      </c>
      <c r="M50" s="6">
        <v>46193</v>
      </c>
      <c r="N50" s="2" t="s">
        <v>1607</v>
      </c>
      <c r="O50" s="6">
        <v>46193</v>
      </c>
      <c r="P50" s="2" t="s">
        <v>1607</v>
      </c>
      <c r="Q50" s="2" t="s">
        <v>1458</v>
      </c>
    </row>
    <row r="51">
      <c r="A51" s="2" t="s">
        <v>1622</v>
      </c>
      <c r="B51" s="3" t="str">
        <f>A51</f>
        <v>st-pred-i-mechanismconfirmed-3</v>
      </c>
      <c r="C51" s="3" t="str">
        <f>"/admin/state-machine/transitions/" &amp; A51</f>
        <v>/admin/state-machine/transitions/st-pred-i-mechanismconfirmed-3</v>
      </c>
      <c r="D51" s="2" t="s">
        <v>1451</v>
      </c>
      <c r="E51" s="2" t="s">
        <v>10</v>
      </c>
      <c r="F51" s="2" t="s">
        <v>643</v>
      </c>
      <c r="G51" s="2" t="s">
        <v>1470</v>
      </c>
      <c r="H51" s="2" t="s">
        <v>1472</v>
      </c>
      <c r="I51" s="2">
        <v>46177.375</v>
      </c>
      <c r="J51" s="2" t="s">
        <v>1512</v>
      </c>
      <c r="K51" s="2" t="s">
        <v>1611</v>
      </c>
      <c r="L51" s="3" t="b">
        <f>NOT(H51="Intake")</f>
        <v>1</v>
      </c>
      <c r="M51" s="6">
        <v>46193</v>
      </c>
      <c r="N51" s="2" t="s">
        <v>1607</v>
      </c>
      <c r="O51" s="6">
        <v>46193</v>
      </c>
      <c r="P51" s="2" t="s">
        <v>1607</v>
      </c>
      <c r="Q51" s="2" t="s">
        <v>1458</v>
      </c>
    </row>
    <row r="52">
      <c r="A52" s="2" t="s">
        <v>1623</v>
      </c>
      <c r="B52" s="3" t="str">
        <f>A52</f>
        <v>st-pred-i-notactionable-4</v>
      </c>
      <c r="C52" s="3" t="str">
        <f>"/admin/state-machine/transitions/" &amp; A52</f>
        <v>/admin/state-machine/transitions/st-pred-i-notactionable-4</v>
      </c>
      <c r="D52" s="2" t="s">
        <v>1451</v>
      </c>
      <c r="E52" s="2" t="s">
        <v>10</v>
      </c>
      <c r="F52" s="2" t="s">
        <v>643</v>
      </c>
      <c r="G52" s="2" t="s">
        <v>1472</v>
      </c>
      <c r="H52" s="2" t="s">
        <v>1480</v>
      </c>
      <c r="I52" s="2">
        <v>46178.375</v>
      </c>
      <c r="J52" s="2" t="s">
        <v>1512</v>
      </c>
      <c r="K52" s="2" t="s">
        <v>1624</v>
      </c>
      <c r="L52" s="3" t="b">
        <f>NOT(H52="Intake")</f>
        <v>1</v>
      </c>
      <c r="M52" s="6">
        <v>46193</v>
      </c>
      <c r="N52" s="2" t="s">
        <v>1607</v>
      </c>
      <c r="O52" s="6">
        <v>46193</v>
      </c>
      <c r="P52" s="2" t="s">
        <v>1607</v>
      </c>
      <c r="Q52" s="2" t="s">
        <v>1458</v>
      </c>
    </row>
    <row r="53">
      <c r="A53" s="2" t="s">
        <v>1625</v>
      </c>
      <c r="B53" s="3" t="str">
        <f>A53</f>
        <v>st-ind-j-brooks-presymptomaticautoimmunity-1</v>
      </c>
      <c r="C53" s="3" t="str">
        <f>"/admin/state-machine/transitions/" &amp; A53</f>
        <v>/admin/state-machine/transitions/st-ind-j-brooks-presymptomaticautoimmunity-1</v>
      </c>
      <c r="D53" s="2" t="s">
        <v>1454</v>
      </c>
      <c r="E53" s="2" t="s">
        <v>73</v>
      </c>
      <c r="F53" s="2" t="s">
        <v>185</v>
      </c>
      <c r="G53" s="2"/>
      <c r="H53" s="2" t="s">
        <v>1485</v>
      </c>
      <c r="I53" s="2">
        <v>45870</v>
      </c>
      <c r="J53" s="2" t="s">
        <v>1512</v>
      </c>
      <c r="K53" s="2" t="s">
        <v>1588</v>
      </c>
      <c r="L53" s="3" t="b">
        <f>NOT(H53="Intake")</f>
        <v>1</v>
      </c>
      <c r="M53" s="6">
        <v>46193</v>
      </c>
      <c r="N53" s="2" t="s">
        <v>1607</v>
      </c>
      <c r="O53" s="6">
        <v>46193</v>
      </c>
      <c r="P53" s="2" t="s">
        <v>1607</v>
      </c>
      <c r="Q53" s="2" t="s">
        <v>1458</v>
      </c>
    </row>
    <row r="54">
      <c r="A54" s="2" t="s">
        <v>1626</v>
      </c>
      <c r="B54" s="3" t="str">
        <f>A54</f>
        <v>st-ind-j-brooks-serologicactive-2</v>
      </c>
      <c r="C54" s="3" t="str">
        <f>"/admin/state-machine/transitions/" &amp; A54</f>
        <v>/admin/state-machine/transitions/st-ind-j-brooks-serologicactive-2</v>
      </c>
      <c r="D54" s="2" t="s">
        <v>1454</v>
      </c>
      <c r="E54" s="2" t="s">
        <v>73</v>
      </c>
      <c r="F54" s="2" t="s">
        <v>185</v>
      </c>
      <c r="G54" s="2" t="s">
        <v>1485</v>
      </c>
      <c r="H54" s="2" t="s">
        <v>1488</v>
      </c>
      <c r="I54" s="2">
        <v>45962</v>
      </c>
      <c r="J54" s="2" t="s">
        <v>1512</v>
      </c>
      <c r="K54" s="2" t="s">
        <v>1590</v>
      </c>
      <c r="L54" s="3" t="b">
        <f>NOT(H54="Intake")</f>
        <v>1</v>
      </c>
      <c r="M54" s="6">
        <v>46193</v>
      </c>
      <c r="N54" s="2" t="s">
        <v>1607</v>
      </c>
      <c r="O54" s="6">
        <v>46193</v>
      </c>
      <c r="P54" s="2" t="s">
        <v>1607</v>
      </c>
      <c r="Q54" s="2" t="s">
        <v>1458</v>
      </c>
    </row>
    <row r="55">
      <c r="A55" s="2" t="s">
        <v>1627</v>
      </c>
      <c r="B55" s="3" t="str">
        <f>A55</f>
        <v>st-pred-j-intake-1</v>
      </c>
      <c r="C55" s="3" t="str">
        <f>"/admin/state-machine/transitions/" &amp; A55</f>
        <v>/admin/state-machine/transitions/st-pred-j-intake-1</v>
      </c>
      <c r="D55" s="2" t="s">
        <v>1451</v>
      </c>
      <c r="E55" s="2" t="s">
        <v>10</v>
      </c>
      <c r="F55" s="2" t="s">
        <v>644</v>
      </c>
      <c r="G55" s="2"/>
      <c r="H55" s="2" t="s">
        <v>1274</v>
      </c>
      <c r="I55" s="2">
        <v>46175.375</v>
      </c>
      <c r="J55" s="2" t="s">
        <v>1512</v>
      </c>
      <c r="K55" s="2" t="s">
        <v>1606</v>
      </c>
      <c r="L55" s="3" t="b">
        <f>NOT(H55="Intake")</f>
        <v>0</v>
      </c>
      <c r="M55" s="6">
        <v>46193</v>
      </c>
      <c r="N55" s="2" t="s">
        <v>1607</v>
      </c>
      <c r="O55" s="6">
        <v>46193</v>
      </c>
      <c r="P55" s="2" t="s">
        <v>1607</v>
      </c>
      <c r="Q55" s="2" t="s">
        <v>1458</v>
      </c>
    </row>
    <row r="56">
      <c r="A56" s="2" t="s">
        <v>1628</v>
      </c>
      <c r="B56" s="3" t="str">
        <f>A56</f>
        <v>st-pred-j-evidenceassessed-2</v>
      </c>
      <c r="C56" s="3" t="str">
        <f>"/admin/state-machine/transitions/" &amp; A56</f>
        <v>/admin/state-machine/transitions/st-pred-j-evidenceassessed-2</v>
      </c>
      <c r="D56" s="2" t="s">
        <v>1451</v>
      </c>
      <c r="E56" s="2" t="s">
        <v>10</v>
      </c>
      <c r="F56" s="2" t="s">
        <v>644</v>
      </c>
      <c r="G56" s="2" t="s">
        <v>1274</v>
      </c>
      <c r="H56" s="2" t="s">
        <v>1470</v>
      </c>
      <c r="I56" s="2">
        <v>46176.375</v>
      </c>
      <c r="J56" s="2" t="s">
        <v>1512</v>
      </c>
      <c r="K56" s="2" t="s">
        <v>1609</v>
      </c>
      <c r="L56" s="3" t="b">
        <f>NOT(H56="Intake")</f>
        <v>1</v>
      </c>
      <c r="M56" s="6">
        <v>46193</v>
      </c>
      <c r="N56" s="2" t="s">
        <v>1607</v>
      </c>
      <c r="O56" s="6">
        <v>46193</v>
      </c>
      <c r="P56" s="2" t="s">
        <v>1607</v>
      </c>
      <c r="Q56" s="2" t="s">
        <v>1458</v>
      </c>
    </row>
    <row r="57">
      <c r="A57" s="2" t="s">
        <v>1629</v>
      </c>
      <c r="B57" s="3" t="str">
        <f>A57</f>
        <v>st-pred-j-mechanismconfirmed-3</v>
      </c>
      <c r="C57" s="3" t="str">
        <f>"/admin/state-machine/transitions/" &amp; A57</f>
        <v>/admin/state-machine/transitions/st-pred-j-mechanismconfirmed-3</v>
      </c>
      <c r="D57" s="2" t="s">
        <v>1451</v>
      </c>
      <c r="E57" s="2" t="s">
        <v>10</v>
      </c>
      <c r="F57" s="2" t="s">
        <v>644</v>
      </c>
      <c r="G57" s="2" t="s">
        <v>1470</v>
      </c>
      <c r="H57" s="2" t="s">
        <v>1472</v>
      </c>
      <c r="I57" s="2">
        <v>46177.375</v>
      </c>
      <c r="J57" s="2" t="s">
        <v>1512</v>
      </c>
      <c r="K57" s="2" t="s">
        <v>1611</v>
      </c>
      <c r="L57" s="3" t="b">
        <f>NOT(H57="Intake")</f>
        <v>1</v>
      </c>
      <c r="M57" s="6">
        <v>46193</v>
      </c>
      <c r="N57" s="2" t="s">
        <v>1607</v>
      </c>
      <c r="O57" s="6">
        <v>46193</v>
      </c>
      <c r="P57" s="2" t="s">
        <v>1607</v>
      </c>
      <c r="Q57" s="2" t="s">
        <v>1458</v>
      </c>
    </row>
    <row r="58">
      <c r="A58" s="2" t="s">
        <v>1630</v>
      </c>
      <c r="B58" s="3" t="str">
        <f>A58</f>
        <v>st-pred-j-calibrationchecked-4</v>
      </c>
      <c r="C58" s="3" t="str">
        <f>"/admin/state-machine/transitions/" &amp; A58</f>
        <v>/admin/state-machine/transitions/st-pred-j-calibrationchecked-4</v>
      </c>
      <c r="D58" s="2" t="s">
        <v>1451</v>
      </c>
      <c r="E58" s="2" t="s">
        <v>10</v>
      </c>
      <c r="F58" s="2" t="s">
        <v>644</v>
      </c>
      <c r="G58" s="2" t="s">
        <v>1472</v>
      </c>
      <c r="H58" s="2" t="s">
        <v>1474</v>
      </c>
      <c r="I58" s="2">
        <v>46178.375</v>
      </c>
      <c r="J58" s="2" t="s">
        <v>1512</v>
      </c>
      <c r="K58" s="2" t="s">
        <v>1613</v>
      </c>
      <c r="L58" s="3" t="b">
        <f>NOT(H58="Intake")</f>
        <v>1</v>
      </c>
      <c r="M58" s="6">
        <v>46193</v>
      </c>
      <c r="N58" s="2" t="s">
        <v>1607</v>
      </c>
      <c r="O58" s="6">
        <v>46193</v>
      </c>
      <c r="P58" s="2" t="s">
        <v>1607</v>
      </c>
      <c r="Q58" s="2" t="s">
        <v>1458</v>
      </c>
    </row>
    <row r="59">
      <c r="A59" s="2" t="s">
        <v>1631</v>
      </c>
      <c r="B59" s="3" t="str">
        <f>A59</f>
        <v>st-pred-j-notactionable-5</v>
      </c>
      <c r="C59" s="3" t="str">
        <f>"/admin/state-machine/transitions/" &amp; A59</f>
        <v>/admin/state-machine/transitions/st-pred-j-notactionable-5</v>
      </c>
      <c r="D59" s="2" t="s">
        <v>1451</v>
      </c>
      <c r="E59" s="2" t="s">
        <v>10</v>
      </c>
      <c r="F59" s="2" t="s">
        <v>644</v>
      </c>
      <c r="G59" s="2" t="s">
        <v>1474</v>
      </c>
      <c r="H59" s="2" t="s">
        <v>1480</v>
      </c>
      <c r="I59" s="2">
        <v>46179.375</v>
      </c>
      <c r="J59" s="2" t="s">
        <v>1512</v>
      </c>
      <c r="K59" s="2" t="s">
        <v>1624</v>
      </c>
      <c r="L59" s="3" t="b">
        <f>NOT(H59="Intake")</f>
        <v>1</v>
      </c>
      <c r="M59" s="6">
        <v>46193</v>
      </c>
      <c r="N59" s="2" t="s">
        <v>1607</v>
      </c>
      <c r="O59" s="6">
        <v>46193</v>
      </c>
      <c r="P59" s="2" t="s">
        <v>1607</v>
      </c>
      <c r="Q59" s="2" t="s">
        <v>1458</v>
      </c>
    </row>
    <row r="60">
      <c r="A60" s="2" t="s">
        <v>1632</v>
      </c>
      <c r="B60" s="3" t="str">
        <f>A60</f>
        <v>st-ind-k-nair-presymptomaticautoimmunity-1</v>
      </c>
      <c r="C60" s="3" t="str">
        <f>"/admin/state-machine/transitions/" &amp; A60</f>
        <v>/admin/state-machine/transitions/st-ind-k-nair-presymptomaticautoimmunity-1</v>
      </c>
      <c r="D60" s="2" t="s">
        <v>1454</v>
      </c>
      <c r="E60" s="2" t="s">
        <v>73</v>
      </c>
      <c r="F60" s="2" t="s">
        <v>190</v>
      </c>
      <c r="G60" s="2"/>
      <c r="H60" s="2" t="s">
        <v>1485</v>
      </c>
      <c r="I60" s="2">
        <v>45843</v>
      </c>
      <c r="J60" s="2" t="s">
        <v>1512</v>
      </c>
      <c r="K60" s="2" t="s">
        <v>1588</v>
      </c>
      <c r="L60" s="3" t="b">
        <f>NOT(H60="Intake")</f>
        <v>1</v>
      </c>
      <c r="M60" s="6">
        <v>46193</v>
      </c>
      <c r="N60" s="2" t="s">
        <v>1607</v>
      </c>
      <c r="O60" s="6">
        <v>46193</v>
      </c>
      <c r="P60" s="2" t="s">
        <v>1607</v>
      </c>
      <c r="Q60" s="2" t="s">
        <v>1458</v>
      </c>
    </row>
    <row r="61">
      <c r="A61" s="2" t="s">
        <v>1633</v>
      </c>
      <c r="B61" s="3" t="str">
        <f>A61</f>
        <v>st-pred-k-intake-1</v>
      </c>
      <c r="C61" s="3" t="str">
        <f>"/admin/state-machine/transitions/" &amp; A61</f>
        <v>/admin/state-machine/transitions/st-pred-k-intake-1</v>
      </c>
      <c r="D61" s="2" t="s">
        <v>1451</v>
      </c>
      <c r="E61" s="2" t="s">
        <v>10</v>
      </c>
      <c r="F61" s="2" t="s">
        <v>645</v>
      </c>
      <c r="G61" s="2"/>
      <c r="H61" s="2" t="s">
        <v>1274</v>
      </c>
      <c r="I61" s="2">
        <v>46175.375</v>
      </c>
      <c r="J61" s="2" t="s">
        <v>1512</v>
      </c>
      <c r="K61" s="2" t="s">
        <v>1606</v>
      </c>
      <c r="L61" s="3" t="b">
        <f>NOT(H61="Intake")</f>
        <v>0</v>
      </c>
      <c r="M61" s="6">
        <v>46193</v>
      </c>
      <c r="N61" s="2" t="s">
        <v>1607</v>
      </c>
      <c r="O61" s="6">
        <v>46193</v>
      </c>
      <c r="P61" s="2" t="s">
        <v>1607</v>
      </c>
      <c r="Q61" s="2" t="s">
        <v>1458</v>
      </c>
    </row>
    <row r="62">
      <c r="A62" s="2" t="s">
        <v>1634</v>
      </c>
      <c r="B62" s="3" t="str">
        <f>A62</f>
        <v>st-pred-k-evidenceassessed-2</v>
      </c>
      <c r="C62" s="3" t="str">
        <f>"/admin/state-machine/transitions/" &amp; A62</f>
        <v>/admin/state-machine/transitions/st-pred-k-evidenceassessed-2</v>
      </c>
      <c r="D62" s="2" t="s">
        <v>1451</v>
      </c>
      <c r="E62" s="2" t="s">
        <v>10</v>
      </c>
      <c r="F62" s="2" t="s">
        <v>645</v>
      </c>
      <c r="G62" s="2" t="s">
        <v>1274</v>
      </c>
      <c r="H62" s="2" t="s">
        <v>1470</v>
      </c>
      <c r="I62" s="2">
        <v>46176.375</v>
      </c>
      <c r="J62" s="2" t="s">
        <v>1512</v>
      </c>
      <c r="K62" s="2" t="s">
        <v>1609</v>
      </c>
      <c r="L62" s="3" t="b">
        <f>NOT(H62="Intake")</f>
        <v>1</v>
      </c>
      <c r="M62" s="6">
        <v>46193</v>
      </c>
      <c r="N62" s="2" t="s">
        <v>1607</v>
      </c>
      <c r="O62" s="6">
        <v>46193</v>
      </c>
      <c r="P62" s="2" t="s">
        <v>1607</v>
      </c>
      <c r="Q62" s="2" t="s">
        <v>1458</v>
      </c>
    </row>
    <row r="63">
      <c r="A63" s="2" t="s">
        <v>1635</v>
      </c>
      <c r="B63" s="3" t="str">
        <f>A63</f>
        <v>st-pred-k-mechanismconfirmed-3</v>
      </c>
      <c r="C63" s="3" t="str">
        <f>"/admin/state-machine/transitions/" &amp; A63</f>
        <v>/admin/state-machine/transitions/st-pred-k-mechanismconfirmed-3</v>
      </c>
      <c r="D63" s="2" t="s">
        <v>1451</v>
      </c>
      <c r="E63" s="2" t="s">
        <v>10</v>
      </c>
      <c r="F63" s="2" t="s">
        <v>645</v>
      </c>
      <c r="G63" s="2" t="s">
        <v>1470</v>
      </c>
      <c r="H63" s="2" t="s">
        <v>1472</v>
      </c>
      <c r="I63" s="2">
        <v>46177.375</v>
      </c>
      <c r="J63" s="2" t="s">
        <v>1512</v>
      </c>
      <c r="K63" s="2" t="s">
        <v>1611</v>
      </c>
      <c r="L63" s="3" t="b">
        <f>NOT(H63="Intake")</f>
        <v>1</v>
      </c>
      <c r="M63" s="6">
        <v>46193</v>
      </c>
      <c r="N63" s="2" t="s">
        <v>1607</v>
      </c>
      <c r="O63" s="6">
        <v>46193</v>
      </c>
      <c r="P63" s="2" t="s">
        <v>1607</v>
      </c>
      <c r="Q63" s="2" t="s">
        <v>1458</v>
      </c>
    </row>
    <row r="64">
      <c r="A64" s="2" t="s">
        <v>1636</v>
      </c>
      <c r="B64" s="3" t="str">
        <f>A64</f>
        <v>st-pred-k-calibrationchecked-4</v>
      </c>
      <c r="C64" s="3" t="str">
        <f>"/admin/state-machine/transitions/" &amp; A64</f>
        <v>/admin/state-machine/transitions/st-pred-k-calibrationchecked-4</v>
      </c>
      <c r="D64" s="2" t="s">
        <v>1451</v>
      </c>
      <c r="E64" s="2" t="s">
        <v>10</v>
      </c>
      <c r="F64" s="2" t="s">
        <v>645</v>
      </c>
      <c r="G64" s="2" t="s">
        <v>1472</v>
      </c>
      <c r="H64" s="2" t="s">
        <v>1474</v>
      </c>
      <c r="I64" s="2">
        <v>46178.375</v>
      </c>
      <c r="J64" s="2" t="s">
        <v>1512</v>
      </c>
      <c r="K64" s="2" t="s">
        <v>1613</v>
      </c>
      <c r="L64" s="3" t="b">
        <f>NOT(H64="Intake")</f>
        <v>1</v>
      </c>
      <c r="M64" s="6">
        <v>46193</v>
      </c>
      <c r="N64" s="2" t="s">
        <v>1607</v>
      </c>
      <c r="O64" s="6">
        <v>46193</v>
      </c>
      <c r="P64" s="2" t="s">
        <v>1607</v>
      </c>
      <c r="Q64" s="2" t="s">
        <v>1458</v>
      </c>
    </row>
    <row r="65">
      <c r="A65" s="2" t="s">
        <v>1637</v>
      </c>
      <c r="B65" s="3" t="str">
        <f>A65</f>
        <v>st-pred-k-transportchecked-5</v>
      </c>
      <c r="C65" s="3" t="str">
        <f>"/admin/state-machine/transitions/" &amp; A65</f>
        <v>/admin/state-machine/transitions/st-pred-k-transportchecked-5</v>
      </c>
      <c r="D65" s="2" t="s">
        <v>1451</v>
      </c>
      <c r="E65" s="2" t="s">
        <v>10</v>
      </c>
      <c r="F65" s="2" t="s">
        <v>645</v>
      </c>
      <c r="G65" s="2" t="s">
        <v>1474</v>
      </c>
      <c r="H65" s="2" t="s">
        <v>1476</v>
      </c>
      <c r="I65" s="2">
        <v>46179.375</v>
      </c>
      <c r="J65" s="2" t="s">
        <v>1512</v>
      </c>
      <c r="K65" s="2" t="s">
        <v>1615</v>
      </c>
      <c r="L65" s="3" t="b">
        <f>NOT(H65="Intake")</f>
        <v>1</v>
      </c>
      <c r="M65" s="6">
        <v>46193</v>
      </c>
      <c r="N65" s="2" t="s">
        <v>1607</v>
      </c>
      <c r="O65" s="6">
        <v>46193</v>
      </c>
      <c r="P65" s="2" t="s">
        <v>1607</v>
      </c>
      <c r="Q65" s="2" t="s">
        <v>1458</v>
      </c>
    </row>
    <row r="66">
      <c r="A66" s="2" t="s">
        <v>1638</v>
      </c>
      <c r="B66" s="3" t="str">
        <f>A66</f>
        <v>st-pred-k-notactionable-6</v>
      </c>
      <c r="C66" s="3" t="str">
        <f>"/admin/state-machine/transitions/" &amp; A66</f>
        <v>/admin/state-machine/transitions/st-pred-k-notactionable-6</v>
      </c>
      <c r="D66" s="2" t="s">
        <v>1451</v>
      </c>
      <c r="E66" s="2" t="s">
        <v>10</v>
      </c>
      <c r="F66" s="2" t="s">
        <v>645</v>
      </c>
      <c r="G66" s="2" t="s">
        <v>1476</v>
      </c>
      <c r="H66" s="2" t="s">
        <v>1480</v>
      </c>
      <c r="I66" s="2">
        <v>46180.375</v>
      </c>
      <c r="J66" s="2" t="s">
        <v>1512</v>
      </c>
      <c r="K66" s="2" t="s">
        <v>1624</v>
      </c>
      <c r="L66" s="3" t="b">
        <f>NOT(H66="Intake")</f>
        <v>1</v>
      </c>
      <c r="M66" s="6">
        <v>46193</v>
      </c>
      <c r="N66" s="2" t="s">
        <v>1607</v>
      </c>
      <c r="O66" s="6">
        <v>46193</v>
      </c>
      <c r="P66" s="2" t="s">
        <v>1607</v>
      </c>
      <c r="Q66" s="2" t="s">
        <v>1458</v>
      </c>
    </row>
    <row r="67">
      <c r="A67" s="2" t="s">
        <v>1639</v>
      </c>
      <c r="B67" s="3" t="str">
        <f>A67</f>
        <v>st-ind-l-brandt-presymptomaticautoimmunity-1</v>
      </c>
      <c r="C67" s="3" t="str">
        <f>"/admin/state-machine/transitions/" &amp; A67</f>
        <v>/admin/state-machine/transitions/st-ind-l-brandt-presymptomaticautoimmunity-1</v>
      </c>
      <c r="D67" s="2" t="s">
        <v>1454</v>
      </c>
      <c r="E67" s="2" t="s">
        <v>73</v>
      </c>
      <c r="F67" s="2" t="s">
        <v>195</v>
      </c>
      <c r="G67" s="2"/>
      <c r="H67" s="2" t="s">
        <v>1485</v>
      </c>
      <c r="I67" s="2">
        <v>45905</v>
      </c>
      <c r="J67" s="2" t="s">
        <v>1512</v>
      </c>
      <c r="K67" s="2" t="s">
        <v>1588</v>
      </c>
      <c r="L67" s="3" t="b">
        <f>NOT(H67="Intake")</f>
        <v>1</v>
      </c>
      <c r="M67" s="6">
        <v>46193</v>
      </c>
      <c r="N67" s="2" t="s">
        <v>1607</v>
      </c>
      <c r="O67" s="6">
        <v>46193</v>
      </c>
      <c r="P67" s="2" t="s">
        <v>1607</v>
      </c>
      <c r="Q67" s="2" t="s">
        <v>1458</v>
      </c>
    </row>
    <row r="68">
      <c r="A68" s="2" t="s">
        <v>1640</v>
      </c>
      <c r="B68" s="3" t="str">
        <f>A68</f>
        <v>st-pred-l-intake-1</v>
      </c>
      <c r="C68" s="3" t="str">
        <f>"/admin/state-machine/transitions/" &amp; A68</f>
        <v>/admin/state-machine/transitions/st-pred-l-intake-1</v>
      </c>
      <c r="D68" s="2" t="s">
        <v>1451</v>
      </c>
      <c r="E68" s="2" t="s">
        <v>10</v>
      </c>
      <c r="F68" s="2" t="s">
        <v>646</v>
      </c>
      <c r="G68" s="2"/>
      <c r="H68" s="2" t="s">
        <v>1274</v>
      </c>
      <c r="I68" s="2">
        <v>46175.375</v>
      </c>
      <c r="J68" s="2" t="s">
        <v>1512</v>
      </c>
      <c r="K68" s="2" t="s">
        <v>1606</v>
      </c>
      <c r="L68" s="3" t="b">
        <f>NOT(H68="Intake")</f>
        <v>0</v>
      </c>
      <c r="M68" s="6">
        <v>46193</v>
      </c>
      <c r="N68" s="2" t="s">
        <v>1607</v>
      </c>
      <c r="O68" s="6">
        <v>46193</v>
      </c>
      <c r="P68" s="2" t="s">
        <v>1607</v>
      </c>
      <c r="Q68" s="2" t="s">
        <v>1458</v>
      </c>
    </row>
    <row r="69">
      <c r="A69" s="2" t="s">
        <v>1641</v>
      </c>
      <c r="B69" s="3" t="str">
        <f>A69</f>
        <v>st-pred-l-evidenceassessed-2</v>
      </c>
      <c r="C69" s="3" t="str">
        <f>"/admin/state-machine/transitions/" &amp; A69</f>
        <v>/admin/state-machine/transitions/st-pred-l-evidenceassessed-2</v>
      </c>
      <c r="D69" s="2" t="s">
        <v>1451</v>
      </c>
      <c r="E69" s="2" t="s">
        <v>10</v>
      </c>
      <c r="F69" s="2" t="s">
        <v>646</v>
      </c>
      <c r="G69" s="2" t="s">
        <v>1274</v>
      </c>
      <c r="H69" s="2" t="s">
        <v>1470</v>
      </c>
      <c r="I69" s="2">
        <v>46176.375</v>
      </c>
      <c r="J69" s="2" t="s">
        <v>1512</v>
      </c>
      <c r="K69" s="2" t="s">
        <v>1609</v>
      </c>
      <c r="L69" s="3" t="b">
        <f>NOT(H69="Intake")</f>
        <v>1</v>
      </c>
      <c r="M69" s="6">
        <v>46193</v>
      </c>
      <c r="N69" s="2" t="s">
        <v>1607</v>
      </c>
      <c r="O69" s="6">
        <v>46193</v>
      </c>
      <c r="P69" s="2" t="s">
        <v>1607</v>
      </c>
      <c r="Q69" s="2" t="s">
        <v>1458</v>
      </c>
    </row>
    <row r="70">
      <c r="A70" s="2" t="s">
        <v>1642</v>
      </c>
      <c r="B70" s="3" t="str">
        <f>A70</f>
        <v>st-pred-l-mechanismconfirmed-3</v>
      </c>
      <c r="C70" s="3" t="str">
        <f>"/admin/state-machine/transitions/" &amp; A70</f>
        <v>/admin/state-machine/transitions/st-pred-l-mechanismconfirmed-3</v>
      </c>
      <c r="D70" s="2" t="s">
        <v>1451</v>
      </c>
      <c r="E70" s="2" t="s">
        <v>10</v>
      </c>
      <c r="F70" s="2" t="s">
        <v>646</v>
      </c>
      <c r="G70" s="2" t="s">
        <v>1470</v>
      </c>
      <c r="H70" s="2" t="s">
        <v>1472</v>
      </c>
      <c r="I70" s="2">
        <v>46177.375</v>
      </c>
      <c r="J70" s="2" t="s">
        <v>1512</v>
      </c>
      <c r="K70" s="2" t="s">
        <v>1611</v>
      </c>
      <c r="L70" s="3" t="b">
        <f>NOT(H70="Intake")</f>
        <v>1</v>
      </c>
      <c r="M70" s="6">
        <v>46193</v>
      </c>
      <c r="N70" s="2" t="s">
        <v>1607</v>
      </c>
      <c r="O70" s="6">
        <v>46193</v>
      </c>
      <c r="P70" s="2" t="s">
        <v>1607</v>
      </c>
      <c r="Q70" s="2" t="s">
        <v>1458</v>
      </c>
    </row>
    <row r="71">
      <c r="A71" s="2" t="s">
        <v>1643</v>
      </c>
      <c r="B71" s="3" t="str">
        <f>A71</f>
        <v>st-pred-l-calibrationchecked-4</v>
      </c>
      <c r="C71" s="3" t="str">
        <f>"/admin/state-machine/transitions/" &amp; A71</f>
        <v>/admin/state-machine/transitions/st-pred-l-calibrationchecked-4</v>
      </c>
      <c r="D71" s="2" t="s">
        <v>1451</v>
      </c>
      <c r="E71" s="2" t="s">
        <v>10</v>
      </c>
      <c r="F71" s="2" t="s">
        <v>646</v>
      </c>
      <c r="G71" s="2" t="s">
        <v>1472</v>
      </c>
      <c r="H71" s="2" t="s">
        <v>1474</v>
      </c>
      <c r="I71" s="2">
        <v>46178.375</v>
      </c>
      <c r="J71" s="2" t="s">
        <v>1512</v>
      </c>
      <c r="K71" s="2" t="s">
        <v>1613</v>
      </c>
      <c r="L71" s="3" t="b">
        <f>NOT(H71="Intake")</f>
        <v>1</v>
      </c>
      <c r="M71" s="6">
        <v>46193</v>
      </c>
      <c r="N71" s="2" t="s">
        <v>1607</v>
      </c>
      <c r="O71" s="6">
        <v>46193</v>
      </c>
      <c r="P71" s="2" t="s">
        <v>1607</v>
      </c>
      <c r="Q71" s="2" t="s">
        <v>1458</v>
      </c>
    </row>
    <row r="72">
      <c r="A72" s="2" t="s">
        <v>1644</v>
      </c>
      <c r="B72" s="3" t="str">
        <f>A72</f>
        <v>st-pred-l-transportchecked-5</v>
      </c>
      <c r="C72" s="3" t="str">
        <f>"/admin/state-machine/transitions/" &amp; A72</f>
        <v>/admin/state-machine/transitions/st-pred-l-transportchecked-5</v>
      </c>
      <c r="D72" s="2" t="s">
        <v>1451</v>
      </c>
      <c r="E72" s="2" t="s">
        <v>10</v>
      </c>
      <c r="F72" s="2" t="s">
        <v>646</v>
      </c>
      <c r="G72" s="2" t="s">
        <v>1474</v>
      </c>
      <c r="H72" s="2" t="s">
        <v>1476</v>
      </c>
      <c r="I72" s="2">
        <v>46179.375</v>
      </c>
      <c r="J72" s="2" t="s">
        <v>1512</v>
      </c>
      <c r="K72" s="2" t="s">
        <v>1615</v>
      </c>
      <c r="L72" s="3" t="b">
        <f>NOT(H72="Intake")</f>
        <v>1</v>
      </c>
      <c r="M72" s="6">
        <v>46193</v>
      </c>
      <c r="N72" s="2" t="s">
        <v>1607</v>
      </c>
      <c r="O72" s="6">
        <v>46193</v>
      </c>
      <c r="P72" s="2" t="s">
        <v>1607</v>
      </c>
      <c r="Q72" s="2" t="s">
        <v>1458</v>
      </c>
    </row>
    <row r="73">
      <c r="A73" s="2" t="s">
        <v>1645</v>
      </c>
      <c r="B73" s="3" t="str">
        <f>A73</f>
        <v>st-pred-l-actionable-6</v>
      </c>
      <c r="C73" s="3" t="str">
        <f>"/admin/state-machine/transitions/" &amp; A73</f>
        <v>/admin/state-machine/transitions/st-pred-l-actionable-6</v>
      </c>
      <c r="D73" s="2" t="s">
        <v>1451</v>
      </c>
      <c r="E73" s="2" t="s">
        <v>10</v>
      </c>
      <c r="F73" s="2" t="s">
        <v>646</v>
      </c>
      <c r="G73" s="2" t="s">
        <v>1476</v>
      </c>
      <c r="H73" s="2" t="s">
        <v>1478</v>
      </c>
      <c r="I73" s="2">
        <v>46180.375</v>
      </c>
      <c r="J73" s="2" t="s">
        <v>1512</v>
      </c>
      <c r="K73" s="2" t="s">
        <v>1617</v>
      </c>
      <c r="L73" s="3" t="b">
        <f>NOT(H73="Intake")</f>
        <v>1</v>
      </c>
      <c r="M73" s="6">
        <v>46193</v>
      </c>
      <c r="N73" s="2" t="s">
        <v>1607</v>
      </c>
      <c r="O73" s="6">
        <v>46193</v>
      </c>
      <c r="P73" s="2" t="s">
        <v>1607</v>
      </c>
      <c r="Q73" s="2" t="s">
        <v>1458</v>
      </c>
    </row>
  </sheetData>
  <autoFilter ref="A1:Q1"/>
  <headerFooter/>
  <legacyDrawing r:id="rId1"/>
</worksheet>
</file>

<file path=xl/worksheets/sheet3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U80"/>
  <sheetViews>
    <sheetView workbookViewId="0">
      <pane ySplit="1" topLeftCell="A2" state="frozen" activePane="bottomLeft"/>
      <selection pane="bottomLeft" activeCell="A1" sqref="A1"/>
    </sheetView>
  </sheetViews>
  <sheetFormatPr defaultRowHeight="15"/>
  <cols>
    <col min="1" max="1" width="50.52486038208008" customWidth="1"/>
    <col min="2" max="2" width="50.52486038208008" customWidth="1"/>
    <col min="3" max="3" width="82.11296081542969" customWidth="1"/>
    <col min="4" max="4" width="26.3172664642334" customWidth="1"/>
    <col min="5" max="5" width="20.728328704833984" customWidth="1"/>
    <col min="6" max="6" width="17.443378448486328" customWidth="1"/>
    <col min="7" max="7" width="28.873071670532227" customWidth="1"/>
    <col min="8" max="8" width="25.7781982421875" customWidth="1"/>
    <col min="9" max="9" width="25.7781982421875" customWidth="1"/>
    <col min="10" max="10" width="17.443378448486328" customWidth="1"/>
    <col min="11" max="11" width="50.52486038208008" customWidth="1"/>
    <col min="12" max="12" width="49.723209381103516" customWidth="1"/>
    <col min="13" max="13" width="17.443378448486328" customWidth="1"/>
    <col min="14" max="14" width="21.05057144165039" customWidth="1"/>
    <col min="15" max="15" width="24.629854202270508" customWidth="1"/>
    <col min="16" max="16" width="17.443378448486328" customWidth="1"/>
    <col min="17" max="17" width="24.629854202270508" customWidth="1"/>
    <col min="18" max="18" width="17.443378448486328" customWidth="1"/>
    <col min="19" max="19" width="17.443378448486328" customWidth="1"/>
    <col min="20" max="20" width="17.443378448486328" customWidth="1"/>
    <col min="21" max="21" width="17.443378448486328" customWidth="1"/>
  </cols>
  <sheetData>
    <row r="1">
      <c r="A1" s="1" t="s">
        <v>1646</v>
      </c>
      <c r="B1" s="1" t="s">
        <v>3</v>
      </c>
      <c r="C1" s="1" t="s">
        <v>4</v>
      </c>
      <c r="D1" s="1" t="s">
        <v>1460</v>
      </c>
      <c r="E1" s="1" t="s">
        <v>1444</v>
      </c>
      <c r="F1" s="1" t="s">
        <v>1546</v>
      </c>
      <c r="G1" s="1" t="s">
        <v>1461</v>
      </c>
      <c r="H1" s="1" t="s">
        <v>1647</v>
      </c>
      <c r="I1" s="1" t="s">
        <v>1648</v>
      </c>
      <c r="J1" s="1" t="s">
        <v>1649</v>
      </c>
      <c r="K1" s="1" t="s">
        <v>1650</v>
      </c>
      <c r="L1" s="1" t="s">
        <v>1651</v>
      </c>
      <c r="M1" s="1" t="s">
        <v>1652</v>
      </c>
      <c r="N1" s="1" t="s">
        <v>1653</v>
      </c>
      <c r="O1" s="1" t="s">
        <v>1268</v>
      </c>
      <c r="P1" s="1" t="s">
        <v>1269</v>
      </c>
      <c r="Q1" s="1" t="s">
        <v>1270</v>
      </c>
      <c r="R1" s="1" t="s">
        <v>1271</v>
      </c>
      <c r="S1" s="1" t="s">
        <v>1272</v>
      </c>
      <c r="T1" s="1" t="s">
        <v>1654</v>
      </c>
      <c r="U1" s="1" t="s">
        <v>1655</v>
      </c>
    </row>
    <row r="2">
      <c r="A2" s="2" t="s">
        <v>1656</v>
      </c>
      <c r="B2" s="3" t="str">
        <f>A2</f>
        <v>ssi-pred-a-intake-1</v>
      </c>
      <c r="C2" s="3" t="str">
        <f>"/admin/state-machine/instances/" &amp; A2</f>
        <v>/admin/state-machine/instances/ssi-pred-a-intake-1</v>
      </c>
      <c r="D2" s="2" t="s">
        <v>1451</v>
      </c>
      <c r="E2" s="2" t="s">
        <v>10</v>
      </c>
      <c r="F2" s="2" t="s">
        <v>634</v>
      </c>
      <c r="G2" s="2" t="s">
        <v>1274</v>
      </c>
      <c r="H2" s="6">
        <v>46174.375</v>
      </c>
      <c r="I2" s="6">
        <v>46175.375</v>
      </c>
      <c r="J2" s="2">
        <v>1</v>
      </c>
      <c r="K2" s="2"/>
      <c r="L2" s="2"/>
      <c r="M2" s="3" t="b">
        <f>ISBLANK(I2)</f>
        <v>0</v>
      </c>
      <c r="N2" s="3" t="b">
        <f>J2&gt;=1</f>
        <v>1</v>
      </c>
      <c r="O2" s="6"/>
      <c r="P2" s="2" t="s">
        <v>1284</v>
      </c>
      <c r="Q2" s="6"/>
      <c r="R2" s="2" t="s">
        <v>1284</v>
      </c>
      <c r="S2" s="2"/>
      <c r="T2" s="2"/>
      <c r="U2" s="3" t="b">
        <f>IF(T2&gt;=90,TRUE(),FALSE())</f>
        <v>0</v>
      </c>
    </row>
    <row r="3">
      <c r="A3" s="2" t="s">
        <v>1657</v>
      </c>
      <c r="B3" s="3" t="str">
        <f>A3</f>
        <v>ssi-pred-a-evidenceassessed-2</v>
      </c>
      <c r="C3" s="3" t="str">
        <f>"/admin/state-machine/instances/" &amp; A3</f>
        <v>/admin/state-machine/instances/ssi-pred-a-evidenceassessed-2</v>
      </c>
      <c r="D3" s="2" t="s">
        <v>1451</v>
      </c>
      <c r="E3" s="2" t="s">
        <v>10</v>
      </c>
      <c r="F3" s="2" t="s">
        <v>634</v>
      </c>
      <c r="G3" s="2" t="s">
        <v>1470</v>
      </c>
      <c r="H3" s="6">
        <v>46175.375</v>
      </c>
      <c r="I3" s="6">
        <v>46176.375</v>
      </c>
      <c r="J3" s="2">
        <v>2</v>
      </c>
      <c r="K3" s="2" t="s">
        <v>1656</v>
      </c>
      <c r="L3" s="2" t="s">
        <v>1550</v>
      </c>
      <c r="M3" s="3" t="b">
        <f>ISBLANK(I3)</f>
        <v>0</v>
      </c>
      <c r="N3" s="3" t="b">
        <f>J3&gt;=1</f>
        <v>1</v>
      </c>
      <c r="O3" s="6"/>
      <c r="P3" s="2" t="s">
        <v>1284</v>
      </c>
      <c r="Q3" s="6"/>
      <c r="R3" s="2" t="s">
        <v>1284</v>
      </c>
      <c r="S3" s="2"/>
      <c r="T3" s="2"/>
      <c r="U3" s="3" t="b">
        <f>IF(T3&gt;=90,TRUE(),FALSE())</f>
        <v>0</v>
      </c>
    </row>
    <row r="4">
      <c r="A4" s="2" t="s">
        <v>1658</v>
      </c>
      <c r="B4" s="3" t="str">
        <f>A4</f>
        <v>ssi-pred-a-mechanismconfirmed-3</v>
      </c>
      <c r="C4" s="3" t="str">
        <f>"/admin/state-machine/instances/" &amp; A4</f>
        <v>/admin/state-machine/instances/ssi-pred-a-mechanismconfirmed-3</v>
      </c>
      <c r="D4" s="2" t="s">
        <v>1451</v>
      </c>
      <c r="E4" s="2" t="s">
        <v>10</v>
      </c>
      <c r="F4" s="2" t="s">
        <v>634</v>
      </c>
      <c r="G4" s="2" t="s">
        <v>1472</v>
      </c>
      <c r="H4" s="6">
        <v>46176.375</v>
      </c>
      <c r="I4" s="6">
        <v>46177.375</v>
      </c>
      <c r="J4" s="2">
        <v>3</v>
      </c>
      <c r="K4" s="2" t="s">
        <v>1657</v>
      </c>
      <c r="L4" s="2" t="s">
        <v>1552</v>
      </c>
      <c r="M4" s="3" t="b">
        <f>ISBLANK(I4)</f>
        <v>0</v>
      </c>
      <c r="N4" s="3" t="b">
        <f>J4&gt;=1</f>
        <v>1</v>
      </c>
      <c r="O4" s="6"/>
      <c r="P4" s="2" t="s">
        <v>1284</v>
      </c>
      <c r="Q4" s="6"/>
      <c r="R4" s="2" t="s">
        <v>1284</v>
      </c>
      <c r="S4" s="2"/>
      <c r="T4" s="2"/>
      <c r="U4" s="3" t="b">
        <f>IF(T4&gt;=90,TRUE(),FALSE())</f>
        <v>0</v>
      </c>
    </row>
    <row r="5">
      <c r="A5" s="2" t="s">
        <v>1659</v>
      </c>
      <c r="B5" s="3" t="str">
        <f>A5</f>
        <v>ssi-pred-a-calibrationchecked-4</v>
      </c>
      <c r="C5" s="3" t="str">
        <f>"/admin/state-machine/instances/" &amp; A5</f>
        <v>/admin/state-machine/instances/ssi-pred-a-calibrationchecked-4</v>
      </c>
      <c r="D5" s="2" t="s">
        <v>1451</v>
      </c>
      <c r="E5" s="2" t="s">
        <v>10</v>
      </c>
      <c r="F5" s="2" t="s">
        <v>634</v>
      </c>
      <c r="G5" s="2" t="s">
        <v>1474</v>
      </c>
      <c r="H5" s="6">
        <v>46177.375</v>
      </c>
      <c r="I5" s="6">
        <v>46178.375</v>
      </c>
      <c r="J5" s="2">
        <v>4</v>
      </c>
      <c r="K5" s="2" t="s">
        <v>1658</v>
      </c>
      <c r="L5" s="2" t="s">
        <v>1554</v>
      </c>
      <c r="M5" s="3" t="b">
        <f>ISBLANK(I5)</f>
        <v>0</v>
      </c>
      <c r="N5" s="3" t="b">
        <f>J5&gt;=1</f>
        <v>1</v>
      </c>
      <c r="O5" s="6"/>
      <c r="P5" s="2" t="s">
        <v>1284</v>
      </c>
      <c r="Q5" s="6"/>
      <c r="R5" s="2" t="s">
        <v>1284</v>
      </c>
      <c r="S5" s="2"/>
      <c r="T5" s="2"/>
      <c r="U5" s="3" t="b">
        <f>IF(T5&gt;=90,TRUE(),FALSE())</f>
        <v>0</v>
      </c>
    </row>
    <row r="6">
      <c r="A6" s="2" t="s">
        <v>1660</v>
      </c>
      <c r="B6" s="3" t="str">
        <f>A6</f>
        <v>ssi-pred-a-transportchecked-5</v>
      </c>
      <c r="C6" s="3" t="str">
        <f>"/admin/state-machine/instances/" &amp; A6</f>
        <v>/admin/state-machine/instances/ssi-pred-a-transportchecked-5</v>
      </c>
      <c r="D6" s="2" t="s">
        <v>1451</v>
      </c>
      <c r="E6" s="2" t="s">
        <v>10</v>
      </c>
      <c r="F6" s="2" t="s">
        <v>634</v>
      </c>
      <c r="G6" s="2" t="s">
        <v>1476</v>
      </c>
      <c r="H6" s="6">
        <v>46178.375</v>
      </c>
      <c r="I6" s="6">
        <v>46179.375</v>
      </c>
      <c r="J6" s="2">
        <v>5</v>
      </c>
      <c r="K6" s="2" t="s">
        <v>1659</v>
      </c>
      <c r="L6" s="2" t="s">
        <v>1556</v>
      </c>
      <c r="M6" s="3" t="b">
        <f>ISBLANK(I6)</f>
        <v>0</v>
      </c>
      <c r="N6" s="3" t="b">
        <f>J6&gt;=1</f>
        <v>1</v>
      </c>
      <c r="O6" s="6"/>
      <c r="P6" s="2" t="s">
        <v>1284</v>
      </c>
      <c r="Q6" s="6"/>
      <c r="R6" s="2" t="s">
        <v>1284</v>
      </c>
      <c r="S6" s="2"/>
      <c r="T6" s="2"/>
      <c r="U6" s="3" t="b">
        <f>IF(T6&gt;=90,TRUE(),FALSE())</f>
        <v>0</v>
      </c>
    </row>
    <row r="7">
      <c r="A7" s="2" t="s">
        <v>1661</v>
      </c>
      <c r="B7" s="3" t="str">
        <f>A7</f>
        <v>ssi-pred-a-actionable-6</v>
      </c>
      <c r="C7" s="3" t="str">
        <f>"/admin/state-machine/instances/" &amp; A7</f>
        <v>/admin/state-machine/instances/ssi-pred-a-actionable-6</v>
      </c>
      <c r="D7" s="2" t="s">
        <v>1451</v>
      </c>
      <c r="E7" s="2" t="s">
        <v>10</v>
      </c>
      <c r="F7" s="2" t="s">
        <v>634</v>
      </c>
      <c r="G7" s="2" t="s">
        <v>1478</v>
      </c>
      <c r="H7" s="6">
        <v>46179.375</v>
      </c>
      <c r="I7" s="6"/>
      <c r="J7" s="2">
        <v>6</v>
      </c>
      <c r="K7" s="2" t="s">
        <v>1660</v>
      </c>
      <c r="L7" s="2" t="s">
        <v>1558</v>
      </c>
      <c r="M7" s="3" t="b">
        <f>ISBLANK(I7)</f>
        <v>1</v>
      </c>
      <c r="N7" s="3" t="b">
        <f>J7&gt;=1</f>
        <v>1</v>
      </c>
      <c r="O7" s="6"/>
      <c r="P7" s="2" t="s">
        <v>1284</v>
      </c>
      <c r="Q7" s="6"/>
      <c r="R7" s="2" t="s">
        <v>1284</v>
      </c>
      <c r="S7" s="2"/>
      <c r="T7" s="2"/>
      <c r="U7" s="3" t="b">
        <f>IF(T7&gt;=90,TRUE(),FALSE())</f>
        <v>0</v>
      </c>
    </row>
    <row r="8">
      <c r="A8" s="2" t="s">
        <v>1662</v>
      </c>
      <c r="B8" s="3" t="str">
        <f>A8</f>
        <v>ssi-pred-b-intake-1</v>
      </c>
      <c r="C8" s="3" t="str">
        <f>"/admin/state-machine/instances/" &amp; A8</f>
        <v>/admin/state-machine/instances/ssi-pred-b-intake-1</v>
      </c>
      <c r="D8" s="2" t="s">
        <v>1451</v>
      </c>
      <c r="E8" s="2" t="s">
        <v>10</v>
      </c>
      <c r="F8" s="2" t="s">
        <v>636</v>
      </c>
      <c r="G8" s="2" t="s">
        <v>1274</v>
      </c>
      <c r="H8" s="6">
        <v>46174.375</v>
      </c>
      <c r="I8" s="6">
        <v>46175.375</v>
      </c>
      <c r="J8" s="2">
        <v>1</v>
      </c>
      <c r="K8" s="2"/>
      <c r="L8" s="2"/>
      <c r="M8" s="3" t="b">
        <f>ISBLANK(I8)</f>
        <v>0</v>
      </c>
      <c r="N8" s="3" t="b">
        <f>J8&gt;=1</f>
        <v>1</v>
      </c>
      <c r="O8" s="6"/>
      <c r="P8" s="2" t="s">
        <v>1284</v>
      </c>
      <c r="Q8" s="6"/>
      <c r="R8" s="2" t="s">
        <v>1284</v>
      </c>
      <c r="S8" s="2"/>
      <c r="T8" s="2"/>
      <c r="U8" s="3" t="b">
        <f>IF(T8&gt;=90,TRUE(),FALSE())</f>
        <v>0</v>
      </c>
    </row>
    <row r="9">
      <c r="A9" s="2" t="s">
        <v>1663</v>
      </c>
      <c r="B9" s="3" t="str">
        <f>A9</f>
        <v>ssi-pred-b-evidenceassessed-2</v>
      </c>
      <c r="C9" s="3" t="str">
        <f>"/admin/state-machine/instances/" &amp; A9</f>
        <v>/admin/state-machine/instances/ssi-pred-b-evidenceassessed-2</v>
      </c>
      <c r="D9" s="2" t="s">
        <v>1451</v>
      </c>
      <c r="E9" s="2" t="s">
        <v>10</v>
      </c>
      <c r="F9" s="2" t="s">
        <v>636</v>
      </c>
      <c r="G9" s="2" t="s">
        <v>1470</v>
      </c>
      <c r="H9" s="6">
        <v>46175.375</v>
      </c>
      <c r="I9" s="6">
        <v>46176.375</v>
      </c>
      <c r="J9" s="2">
        <v>2</v>
      </c>
      <c r="K9" s="2" t="s">
        <v>1662</v>
      </c>
      <c r="L9" s="2" t="s">
        <v>1560</v>
      </c>
      <c r="M9" s="3" t="b">
        <f>ISBLANK(I9)</f>
        <v>0</v>
      </c>
      <c r="N9" s="3" t="b">
        <f>J9&gt;=1</f>
        <v>1</v>
      </c>
      <c r="O9" s="6"/>
      <c r="P9" s="2" t="s">
        <v>1284</v>
      </c>
      <c r="Q9" s="6"/>
      <c r="R9" s="2" t="s">
        <v>1284</v>
      </c>
      <c r="S9" s="2"/>
      <c r="T9" s="2"/>
      <c r="U9" s="3" t="b">
        <f>IF(T9&gt;=90,TRUE(),FALSE())</f>
        <v>0</v>
      </c>
    </row>
    <row r="10">
      <c r="A10" s="2" t="s">
        <v>1664</v>
      </c>
      <c r="B10" s="3" t="str">
        <f>A10</f>
        <v>ssi-pred-b-mechanismconfirmed-3</v>
      </c>
      <c r="C10" s="3" t="str">
        <f>"/admin/state-machine/instances/" &amp; A10</f>
        <v>/admin/state-machine/instances/ssi-pred-b-mechanismconfirmed-3</v>
      </c>
      <c r="D10" s="2" t="s">
        <v>1451</v>
      </c>
      <c r="E10" s="2" t="s">
        <v>10</v>
      </c>
      <c r="F10" s="2" t="s">
        <v>636</v>
      </c>
      <c r="G10" s="2" t="s">
        <v>1472</v>
      </c>
      <c r="H10" s="6">
        <v>46176.375</v>
      </c>
      <c r="I10" s="6">
        <v>46177.375</v>
      </c>
      <c r="J10" s="2">
        <v>3</v>
      </c>
      <c r="K10" s="2" t="s">
        <v>1663</v>
      </c>
      <c r="L10" s="2" t="s">
        <v>1561</v>
      </c>
      <c r="M10" s="3" t="b">
        <f>ISBLANK(I10)</f>
        <v>0</v>
      </c>
      <c r="N10" s="3" t="b">
        <f>J10&gt;=1</f>
        <v>1</v>
      </c>
      <c r="O10" s="6"/>
      <c r="P10" s="2" t="s">
        <v>1284</v>
      </c>
      <c r="Q10" s="6"/>
      <c r="R10" s="2" t="s">
        <v>1284</v>
      </c>
      <c r="S10" s="2"/>
      <c r="T10" s="2"/>
      <c r="U10" s="3" t="b">
        <f>IF(T10&gt;=90,TRUE(),FALSE())</f>
        <v>0</v>
      </c>
    </row>
    <row r="11">
      <c r="A11" s="2" t="s">
        <v>1665</v>
      </c>
      <c r="B11" s="3" t="str">
        <f>A11</f>
        <v>ssi-pred-b-calibrationchecked-4</v>
      </c>
      <c r="C11" s="3" t="str">
        <f>"/admin/state-machine/instances/" &amp; A11</f>
        <v>/admin/state-machine/instances/ssi-pred-b-calibrationchecked-4</v>
      </c>
      <c r="D11" s="2" t="s">
        <v>1451</v>
      </c>
      <c r="E11" s="2" t="s">
        <v>10</v>
      </c>
      <c r="F11" s="2" t="s">
        <v>636</v>
      </c>
      <c r="G11" s="2" t="s">
        <v>1474</v>
      </c>
      <c r="H11" s="6">
        <v>46177.375</v>
      </c>
      <c r="I11" s="6">
        <v>46178.375</v>
      </c>
      <c r="J11" s="2">
        <v>4</v>
      </c>
      <c r="K11" s="2" t="s">
        <v>1664</v>
      </c>
      <c r="L11" s="2" t="s">
        <v>1562</v>
      </c>
      <c r="M11" s="3" t="b">
        <f>ISBLANK(I11)</f>
        <v>0</v>
      </c>
      <c r="N11" s="3" t="b">
        <f>J11&gt;=1</f>
        <v>1</v>
      </c>
      <c r="O11" s="6"/>
      <c r="P11" s="2" t="s">
        <v>1284</v>
      </c>
      <c r="Q11" s="6"/>
      <c r="R11" s="2" t="s">
        <v>1284</v>
      </c>
      <c r="S11" s="2"/>
      <c r="T11" s="2"/>
      <c r="U11" s="3" t="b">
        <f>IF(T11&gt;=90,TRUE(),FALSE())</f>
        <v>0</v>
      </c>
    </row>
    <row r="12">
      <c r="A12" s="2" t="s">
        <v>1666</v>
      </c>
      <c r="B12" s="3" t="str">
        <f>A12</f>
        <v>ssi-pred-b-notactionable-5</v>
      </c>
      <c r="C12" s="3" t="str">
        <f>"/admin/state-machine/instances/" &amp; A12</f>
        <v>/admin/state-machine/instances/ssi-pred-b-notactionable-5</v>
      </c>
      <c r="D12" s="2" t="s">
        <v>1451</v>
      </c>
      <c r="E12" s="2" t="s">
        <v>10</v>
      </c>
      <c r="F12" s="2" t="s">
        <v>636</v>
      </c>
      <c r="G12" s="2" t="s">
        <v>1480</v>
      </c>
      <c r="H12" s="6">
        <v>46178.375</v>
      </c>
      <c r="I12" s="6"/>
      <c r="J12" s="2">
        <v>5</v>
      </c>
      <c r="K12" s="2" t="s">
        <v>1665</v>
      </c>
      <c r="L12" s="2" t="s">
        <v>1563</v>
      </c>
      <c r="M12" s="3" t="b">
        <f>ISBLANK(I12)</f>
        <v>1</v>
      </c>
      <c r="N12" s="3" t="b">
        <f>J12&gt;=1</f>
        <v>1</v>
      </c>
      <c r="O12" s="6"/>
      <c r="P12" s="2" t="s">
        <v>1284</v>
      </c>
      <c r="Q12" s="6"/>
      <c r="R12" s="2" t="s">
        <v>1284</v>
      </c>
      <c r="S12" s="2"/>
      <c r="T12" s="2"/>
      <c r="U12" s="3" t="b">
        <f>IF(T12&gt;=90,TRUE(),FALSE())</f>
        <v>0</v>
      </c>
    </row>
    <row r="13">
      <c r="A13" s="2" t="s">
        <v>1667</v>
      </c>
      <c r="B13" s="3" t="str">
        <f>A13</f>
        <v>ssi-pred-c-intake-1</v>
      </c>
      <c r="C13" s="3" t="str">
        <f>"/admin/state-machine/instances/" &amp; A13</f>
        <v>/admin/state-machine/instances/ssi-pred-c-intake-1</v>
      </c>
      <c r="D13" s="2" t="s">
        <v>1451</v>
      </c>
      <c r="E13" s="2" t="s">
        <v>10</v>
      </c>
      <c r="F13" s="2" t="s">
        <v>637</v>
      </c>
      <c r="G13" s="2" t="s">
        <v>1274</v>
      </c>
      <c r="H13" s="6">
        <v>46174.375</v>
      </c>
      <c r="I13" s="6">
        <v>46175.375</v>
      </c>
      <c r="J13" s="2">
        <v>1</v>
      </c>
      <c r="K13" s="2"/>
      <c r="L13" s="2"/>
      <c r="M13" s="3" t="b">
        <f>ISBLANK(I13)</f>
        <v>0</v>
      </c>
      <c r="N13" s="3" t="b">
        <f>J13&gt;=1</f>
        <v>1</v>
      </c>
      <c r="O13" s="6"/>
      <c r="P13" s="2" t="s">
        <v>1284</v>
      </c>
      <c r="Q13" s="6"/>
      <c r="R13" s="2" t="s">
        <v>1284</v>
      </c>
      <c r="S13" s="2"/>
      <c r="T13" s="2"/>
      <c r="U13" s="3" t="b">
        <f>IF(T13&gt;=90,TRUE(),FALSE())</f>
        <v>0</v>
      </c>
    </row>
    <row r="14">
      <c r="A14" s="2" t="s">
        <v>1668</v>
      </c>
      <c r="B14" s="3" t="str">
        <f>A14</f>
        <v>ssi-pred-c-evidenceassessed-2</v>
      </c>
      <c r="C14" s="3" t="str">
        <f>"/admin/state-machine/instances/" &amp; A14</f>
        <v>/admin/state-machine/instances/ssi-pred-c-evidenceassessed-2</v>
      </c>
      <c r="D14" s="2" t="s">
        <v>1451</v>
      </c>
      <c r="E14" s="2" t="s">
        <v>10</v>
      </c>
      <c r="F14" s="2" t="s">
        <v>637</v>
      </c>
      <c r="G14" s="2" t="s">
        <v>1470</v>
      </c>
      <c r="H14" s="6">
        <v>46175.375</v>
      </c>
      <c r="I14" s="6">
        <v>46176.375</v>
      </c>
      <c r="J14" s="2">
        <v>2</v>
      </c>
      <c r="K14" s="2" t="s">
        <v>1667</v>
      </c>
      <c r="L14" s="2" t="s">
        <v>1565</v>
      </c>
      <c r="M14" s="3" t="b">
        <f>ISBLANK(I14)</f>
        <v>0</v>
      </c>
      <c r="N14" s="3" t="b">
        <f>J14&gt;=1</f>
        <v>1</v>
      </c>
      <c r="O14" s="6"/>
      <c r="P14" s="2" t="s">
        <v>1284</v>
      </c>
      <c r="Q14" s="6"/>
      <c r="R14" s="2" t="s">
        <v>1284</v>
      </c>
      <c r="S14" s="2"/>
      <c r="T14" s="2"/>
      <c r="U14" s="3" t="b">
        <f>IF(T14&gt;=90,TRUE(),FALSE())</f>
        <v>0</v>
      </c>
    </row>
    <row r="15">
      <c r="A15" s="2" t="s">
        <v>1669</v>
      </c>
      <c r="B15" s="3" t="str">
        <f>A15</f>
        <v>ssi-pred-c-notactionable-3</v>
      </c>
      <c r="C15" s="3" t="str">
        <f>"/admin/state-machine/instances/" &amp; A15</f>
        <v>/admin/state-machine/instances/ssi-pred-c-notactionable-3</v>
      </c>
      <c r="D15" s="2" t="s">
        <v>1451</v>
      </c>
      <c r="E15" s="2" t="s">
        <v>10</v>
      </c>
      <c r="F15" s="2" t="s">
        <v>637</v>
      </c>
      <c r="G15" s="2" t="s">
        <v>1480</v>
      </c>
      <c r="H15" s="6">
        <v>46176.375</v>
      </c>
      <c r="I15" s="6"/>
      <c r="J15" s="2">
        <v>3</v>
      </c>
      <c r="K15" s="2" t="s">
        <v>1668</v>
      </c>
      <c r="L15" s="2" t="s">
        <v>1566</v>
      </c>
      <c r="M15" s="3" t="b">
        <f>ISBLANK(I15)</f>
        <v>1</v>
      </c>
      <c r="N15" s="3" t="b">
        <f>J15&gt;=1</f>
        <v>1</v>
      </c>
      <c r="O15" s="6"/>
      <c r="P15" s="2" t="s">
        <v>1284</v>
      </c>
      <c r="Q15" s="6"/>
      <c r="R15" s="2" t="s">
        <v>1284</v>
      </c>
      <c r="S15" s="2"/>
      <c r="T15" s="2"/>
      <c r="U15" s="3" t="b">
        <f>IF(T15&gt;=90,TRUE(),FALSE())</f>
        <v>0</v>
      </c>
    </row>
    <row r="16">
      <c r="A16" s="2" t="s">
        <v>1670</v>
      </c>
      <c r="B16" s="3" t="str">
        <f>A16</f>
        <v>ssi-pred-d-intake-1</v>
      </c>
      <c r="C16" s="3" t="str">
        <f>"/admin/state-machine/instances/" &amp; A16</f>
        <v>/admin/state-machine/instances/ssi-pred-d-intake-1</v>
      </c>
      <c r="D16" s="2" t="s">
        <v>1451</v>
      </c>
      <c r="E16" s="2" t="s">
        <v>10</v>
      </c>
      <c r="F16" s="2" t="s">
        <v>638</v>
      </c>
      <c r="G16" s="2" t="s">
        <v>1274</v>
      </c>
      <c r="H16" s="6">
        <v>46174.375</v>
      </c>
      <c r="I16" s="6">
        <v>46175.375</v>
      </c>
      <c r="J16" s="2">
        <v>1</v>
      </c>
      <c r="K16" s="2"/>
      <c r="L16" s="2"/>
      <c r="M16" s="3" t="b">
        <f>ISBLANK(I16)</f>
        <v>0</v>
      </c>
      <c r="N16" s="3" t="b">
        <f>J16&gt;=1</f>
        <v>1</v>
      </c>
      <c r="O16" s="6"/>
      <c r="P16" s="2" t="s">
        <v>1284</v>
      </c>
      <c r="Q16" s="6"/>
      <c r="R16" s="2" t="s">
        <v>1284</v>
      </c>
      <c r="S16" s="2"/>
      <c r="T16" s="2"/>
      <c r="U16" s="3" t="b">
        <f>IF(T16&gt;=90,TRUE(),FALSE())</f>
        <v>0</v>
      </c>
    </row>
    <row r="17">
      <c r="A17" s="2" t="s">
        <v>1671</v>
      </c>
      <c r="B17" s="3" t="str">
        <f>A17</f>
        <v>ssi-pred-d-evidenceassessed-2</v>
      </c>
      <c r="C17" s="3" t="str">
        <f>"/admin/state-machine/instances/" &amp; A17</f>
        <v>/admin/state-machine/instances/ssi-pred-d-evidenceassessed-2</v>
      </c>
      <c r="D17" s="2" t="s">
        <v>1451</v>
      </c>
      <c r="E17" s="2" t="s">
        <v>10</v>
      </c>
      <c r="F17" s="2" t="s">
        <v>638</v>
      </c>
      <c r="G17" s="2" t="s">
        <v>1470</v>
      </c>
      <c r="H17" s="6">
        <v>46175.375</v>
      </c>
      <c r="I17" s="6">
        <v>46176.375</v>
      </c>
      <c r="J17" s="2">
        <v>2</v>
      </c>
      <c r="K17" s="2" t="s">
        <v>1670</v>
      </c>
      <c r="L17" s="2" t="s">
        <v>1568</v>
      </c>
      <c r="M17" s="3" t="b">
        <f>ISBLANK(I17)</f>
        <v>0</v>
      </c>
      <c r="N17" s="3" t="b">
        <f>J17&gt;=1</f>
        <v>1</v>
      </c>
      <c r="O17" s="6"/>
      <c r="P17" s="2" t="s">
        <v>1284</v>
      </c>
      <c r="Q17" s="6"/>
      <c r="R17" s="2" t="s">
        <v>1284</v>
      </c>
      <c r="S17" s="2"/>
      <c r="T17" s="2"/>
      <c r="U17" s="3" t="b">
        <f>IF(T17&gt;=90,TRUE(),FALSE())</f>
        <v>0</v>
      </c>
    </row>
    <row r="18">
      <c r="A18" s="2" t="s">
        <v>1672</v>
      </c>
      <c r="B18" s="3" t="str">
        <f>A18</f>
        <v>ssi-pred-d-mechanismconfirmed-3</v>
      </c>
      <c r="C18" s="3" t="str">
        <f>"/admin/state-machine/instances/" &amp; A18</f>
        <v>/admin/state-machine/instances/ssi-pred-d-mechanismconfirmed-3</v>
      </c>
      <c r="D18" s="2" t="s">
        <v>1451</v>
      </c>
      <c r="E18" s="2" t="s">
        <v>10</v>
      </c>
      <c r="F18" s="2" t="s">
        <v>638</v>
      </c>
      <c r="G18" s="2" t="s">
        <v>1472</v>
      </c>
      <c r="H18" s="6">
        <v>46176.375</v>
      </c>
      <c r="I18" s="6">
        <v>46177.375</v>
      </c>
      <c r="J18" s="2">
        <v>3</v>
      </c>
      <c r="K18" s="2" t="s">
        <v>1671</v>
      </c>
      <c r="L18" s="2" t="s">
        <v>1569</v>
      </c>
      <c r="M18" s="3" t="b">
        <f>ISBLANK(I18)</f>
        <v>0</v>
      </c>
      <c r="N18" s="3" t="b">
        <f>J18&gt;=1</f>
        <v>1</v>
      </c>
      <c r="O18" s="6"/>
      <c r="P18" s="2" t="s">
        <v>1284</v>
      </c>
      <c r="Q18" s="6"/>
      <c r="R18" s="2" t="s">
        <v>1284</v>
      </c>
      <c r="S18" s="2"/>
      <c r="T18" s="2"/>
      <c r="U18" s="3" t="b">
        <f>IF(T18&gt;=90,TRUE(),FALSE())</f>
        <v>0</v>
      </c>
    </row>
    <row r="19">
      <c r="A19" s="2" t="s">
        <v>1673</v>
      </c>
      <c r="B19" s="3" t="str">
        <f>A19</f>
        <v>ssi-pred-d-notactionable-4</v>
      </c>
      <c r="C19" s="3" t="str">
        <f>"/admin/state-machine/instances/" &amp; A19</f>
        <v>/admin/state-machine/instances/ssi-pred-d-notactionable-4</v>
      </c>
      <c r="D19" s="2" t="s">
        <v>1451</v>
      </c>
      <c r="E19" s="2" t="s">
        <v>10</v>
      </c>
      <c r="F19" s="2" t="s">
        <v>638</v>
      </c>
      <c r="G19" s="2" t="s">
        <v>1480</v>
      </c>
      <c r="H19" s="6">
        <v>46177.375</v>
      </c>
      <c r="I19" s="6"/>
      <c r="J19" s="2">
        <v>4</v>
      </c>
      <c r="K19" s="2" t="s">
        <v>1672</v>
      </c>
      <c r="L19" s="2" t="s">
        <v>1570</v>
      </c>
      <c r="M19" s="3" t="b">
        <f>ISBLANK(I19)</f>
        <v>1</v>
      </c>
      <c r="N19" s="3" t="b">
        <f>J19&gt;=1</f>
        <v>1</v>
      </c>
      <c r="O19" s="6"/>
      <c r="P19" s="2" t="s">
        <v>1284</v>
      </c>
      <c r="Q19" s="6"/>
      <c r="R19" s="2" t="s">
        <v>1284</v>
      </c>
      <c r="S19" s="2"/>
      <c r="T19" s="2"/>
      <c r="U19" s="3" t="b">
        <f>IF(T19&gt;=90,TRUE(),FALSE())</f>
        <v>0</v>
      </c>
    </row>
    <row r="20">
      <c r="A20" s="2" t="s">
        <v>1674</v>
      </c>
      <c r="B20" s="3" t="str">
        <f>A20</f>
        <v>ssi-pred-e-intake-1</v>
      </c>
      <c r="C20" s="3" t="str">
        <f>"/admin/state-machine/instances/" &amp; A20</f>
        <v>/admin/state-machine/instances/ssi-pred-e-intake-1</v>
      </c>
      <c r="D20" s="2" t="s">
        <v>1451</v>
      </c>
      <c r="E20" s="2" t="s">
        <v>10</v>
      </c>
      <c r="F20" s="2" t="s">
        <v>639</v>
      </c>
      <c r="G20" s="2" t="s">
        <v>1274</v>
      </c>
      <c r="H20" s="6">
        <v>46174.375</v>
      </c>
      <c r="I20" s="6">
        <v>46175.375</v>
      </c>
      <c r="J20" s="2">
        <v>1</v>
      </c>
      <c r="K20" s="2"/>
      <c r="L20" s="2"/>
      <c r="M20" s="3" t="b">
        <f>ISBLANK(I20)</f>
        <v>0</v>
      </c>
      <c r="N20" s="3" t="b">
        <f>J20&gt;=1</f>
        <v>1</v>
      </c>
      <c r="O20" s="6"/>
      <c r="P20" s="2" t="s">
        <v>1284</v>
      </c>
      <c r="Q20" s="6"/>
      <c r="R20" s="2" t="s">
        <v>1284</v>
      </c>
      <c r="S20" s="2"/>
      <c r="T20" s="2"/>
      <c r="U20" s="3" t="b">
        <f>IF(T20&gt;=90,TRUE(),FALSE())</f>
        <v>0</v>
      </c>
    </row>
    <row r="21">
      <c r="A21" s="2" t="s">
        <v>1675</v>
      </c>
      <c r="B21" s="3" t="str">
        <f>A21</f>
        <v>ssi-pred-e-evidenceassessed-2</v>
      </c>
      <c r="C21" s="3" t="str">
        <f>"/admin/state-machine/instances/" &amp; A21</f>
        <v>/admin/state-machine/instances/ssi-pred-e-evidenceassessed-2</v>
      </c>
      <c r="D21" s="2" t="s">
        <v>1451</v>
      </c>
      <c r="E21" s="2" t="s">
        <v>10</v>
      </c>
      <c r="F21" s="2" t="s">
        <v>639</v>
      </c>
      <c r="G21" s="2" t="s">
        <v>1470</v>
      </c>
      <c r="H21" s="6">
        <v>46175.375</v>
      </c>
      <c r="I21" s="6">
        <v>46176.375</v>
      </c>
      <c r="J21" s="2">
        <v>2</v>
      </c>
      <c r="K21" s="2" t="s">
        <v>1674</v>
      </c>
      <c r="L21" s="2" t="s">
        <v>1572</v>
      </c>
      <c r="M21" s="3" t="b">
        <f>ISBLANK(I21)</f>
        <v>0</v>
      </c>
      <c r="N21" s="3" t="b">
        <f>J21&gt;=1</f>
        <v>1</v>
      </c>
      <c r="O21" s="6"/>
      <c r="P21" s="2" t="s">
        <v>1284</v>
      </c>
      <c r="Q21" s="6"/>
      <c r="R21" s="2" t="s">
        <v>1284</v>
      </c>
      <c r="S21" s="2"/>
      <c r="T21" s="2"/>
      <c r="U21" s="3" t="b">
        <f>IF(T21&gt;=90,TRUE(),FALSE())</f>
        <v>0</v>
      </c>
    </row>
    <row r="22">
      <c r="A22" s="2" t="s">
        <v>1676</v>
      </c>
      <c r="B22" s="3" t="str">
        <f>A22</f>
        <v>ssi-pred-e-notactionable-3</v>
      </c>
      <c r="C22" s="3" t="str">
        <f>"/admin/state-machine/instances/" &amp; A22</f>
        <v>/admin/state-machine/instances/ssi-pred-e-notactionable-3</v>
      </c>
      <c r="D22" s="2" t="s">
        <v>1451</v>
      </c>
      <c r="E22" s="2" t="s">
        <v>10</v>
      </c>
      <c r="F22" s="2" t="s">
        <v>639</v>
      </c>
      <c r="G22" s="2" t="s">
        <v>1480</v>
      </c>
      <c r="H22" s="6">
        <v>46176.375</v>
      </c>
      <c r="I22" s="6"/>
      <c r="J22" s="2">
        <v>3</v>
      </c>
      <c r="K22" s="2" t="s">
        <v>1675</v>
      </c>
      <c r="L22" s="2" t="s">
        <v>1573</v>
      </c>
      <c r="M22" s="3" t="b">
        <f>ISBLANK(I22)</f>
        <v>1</v>
      </c>
      <c r="N22" s="3" t="b">
        <f>J22&gt;=1</f>
        <v>1</v>
      </c>
      <c r="O22" s="6"/>
      <c r="P22" s="2" t="s">
        <v>1284</v>
      </c>
      <c r="Q22" s="6"/>
      <c r="R22" s="2" t="s">
        <v>1284</v>
      </c>
      <c r="S22" s="2"/>
      <c r="T22" s="2"/>
      <c r="U22" s="3" t="b">
        <f>IF(T22&gt;=90,TRUE(),FALSE())</f>
        <v>0</v>
      </c>
    </row>
    <row r="23">
      <c r="A23" s="2" t="s">
        <v>1677</v>
      </c>
      <c r="B23" s="3" t="str">
        <f>A23</f>
        <v>ssi-pred-f-intake-1</v>
      </c>
      <c r="C23" s="3" t="str">
        <f>"/admin/state-machine/instances/" &amp; A23</f>
        <v>/admin/state-machine/instances/ssi-pred-f-intake-1</v>
      </c>
      <c r="D23" s="2" t="s">
        <v>1451</v>
      </c>
      <c r="E23" s="2" t="s">
        <v>10</v>
      </c>
      <c r="F23" s="2" t="s">
        <v>640</v>
      </c>
      <c r="G23" s="2" t="s">
        <v>1274</v>
      </c>
      <c r="H23" s="6">
        <v>46174.375</v>
      </c>
      <c r="I23" s="6">
        <v>46175.375</v>
      </c>
      <c r="J23" s="2">
        <v>1</v>
      </c>
      <c r="K23" s="2"/>
      <c r="L23" s="2"/>
      <c r="M23" s="3" t="b">
        <f>ISBLANK(I23)</f>
        <v>0</v>
      </c>
      <c r="N23" s="3" t="b">
        <f>J23&gt;=1</f>
        <v>1</v>
      </c>
      <c r="O23" s="6"/>
      <c r="P23" s="2" t="s">
        <v>1284</v>
      </c>
      <c r="Q23" s="6"/>
      <c r="R23" s="2" t="s">
        <v>1284</v>
      </c>
      <c r="S23" s="2"/>
      <c r="T23" s="2"/>
      <c r="U23" s="3" t="b">
        <f>IF(T23&gt;=90,TRUE(),FALSE())</f>
        <v>0</v>
      </c>
    </row>
    <row r="24">
      <c r="A24" s="2" t="s">
        <v>1678</v>
      </c>
      <c r="B24" s="3" t="str">
        <f>A24</f>
        <v>ssi-pred-f-evidenceassessed-2</v>
      </c>
      <c r="C24" s="3" t="str">
        <f>"/admin/state-machine/instances/" &amp; A24</f>
        <v>/admin/state-machine/instances/ssi-pred-f-evidenceassessed-2</v>
      </c>
      <c r="D24" s="2" t="s">
        <v>1451</v>
      </c>
      <c r="E24" s="2" t="s">
        <v>10</v>
      </c>
      <c r="F24" s="2" t="s">
        <v>640</v>
      </c>
      <c r="G24" s="2" t="s">
        <v>1470</v>
      </c>
      <c r="H24" s="6">
        <v>46175.375</v>
      </c>
      <c r="I24" s="6">
        <v>46176.375</v>
      </c>
      <c r="J24" s="2">
        <v>2</v>
      </c>
      <c r="K24" s="2" t="s">
        <v>1677</v>
      </c>
      <c r="L24" s="2" t="s">
        <v>1575</v>
      </c>
      <c r="M24" s="3" t="b">
        <f>ISBLANK(I24)</f>
        <v>0</v>
      </c>
      <c r="N24" s="3" t="b">
        <f>J24&gt;=1</f>
        <v>1</v>
      </c>
      <c r="O24" s="6"/>
      <c r="P24" s="2" t="s">
        <v>1284</v>
      </c>
      <c r="Q24" s="6"/>
      <c r="R24" s="2" t="s">
        <v>1284</v>
      </c>
      <c r="S24" s="2"/>
      <c r="T24" s="2"/>
      <c r="U24" s="3" t="b">
        <f>IF(T24&gt;=90,TRUE(),FALSE())</f>
        <v>0</v>
      </c>
    </row>
    <row r="25">
      <c r="A25" s="2" t="s">
        <v>1679</v>
      </c>
      <c r="B25" s="3" t="str">
        <f>A25</f>
        <v>ssi-pred-f-mechanismconfirmed-3</v>
      </c>
      <c r="C25" s="3" t="str">
        <f>"/admin/state-machine/instances/" &amp; A25</f>
        <v>/admin/state-machine/instances/ssi-pred-f-mechanismconfirmed-3</v>
      </c>
      <c r="D25" s="2" t="s">
        <v>1451</v>
      </c>
      <c r="E25" s="2" t="s">
        <v>10</v>
      </c>
      <c r="F25" s="2" t="s">
        <v>640</v>
      </c>
      <c r="G25" s="2" t="s">
        <v>1472</v>
      </c>
      <c r="H25" s="6">
        <v>46176.375</v>
      </c>
      <c r="I25" s="6">
        <v>46177.375</v>
      </c>
      <c r="J25" s="2">
        <v>3</v>
      </c>
      <c r="K25" s="2" t="s">
        <v>1678</v>
      </c>
      <c r="L25" s="2" t="s">
        <v>1576</v>
      </c>
      <c r="M25" s="3" t="b">
        <f>ISBLANK(I25)</f>
        <v>0</v>
      </c>
      <c r="N25" s="3" t="b">
        <f>J25&gt;=1</f>
        <v>1</v>
      </c>
      <c r="O25" s="6"/>
      <c r="P25" s="2" t="s">
        <v>1284</v>
      </c>
      <c r="Q25" s="6"/>
      <c r="R25" s="2" t="s">
        <v>1284</v>
      </c>
      <c r="S25" s="2"/>
      <c r="T25" s="2"/>
      <c r="U25" s="3" t="b">
        <f>IF(T25&gt;=90,TRUE(),FALSE())</f>
        <v>0</v>
      </c>
    </row>
    <row r="26">
      <c r="A26" s="2" t="s">
        <v>1680</v>
      </c>
      <c r="B26" s="3" t="str">
        <f>A26</f>
        <v>ssi-pred-f-calibrationchecked-4</v>
      </c>
      <c r="C26" s="3" t="str">
        <f>"/admin/state-machine/instances/" &amp; A26</f>
        <v>/admin/state-machine/instances/ssi-pred-f-calibrationchecked-4</v>
      </c>
      <c r="D26" s="2" t="s">
        <v>1451</v>
      </c>
      <c r="E26" s="2" t="s">
        <v>10</v>
      </c>
      <c r="F26" s="2" t="s">
        <v>640</v>
      </c>
      <c r="G26" s="2" t="s">
        <v>1474</v>
      </c>
      <c r="H26" s="6">
        <v>46177.375</v>
      </c>
      <c r="I26" s="6">
        <v>46178.375</v>
      </c>
      <c r="J26" s="2">
        <v>4</v>
      </c>
      <c r="K26" s="2" t="s">
        <v>1679</v>
      </c>
      <c r="L26" s="2" t="s">
        <v>1577</v>
      </c>
      <c r="M26" s="3" t="b">
        <f>ISBLANK(I26)</f>
        <v>0</v>
      </c>
      <c r="N26" s="3" t="b">
        <f>J26&gt;=1</f>
        <v>1</v>
      </c>
      <c r="O26" s="6"/>
      <c r="P26" s="2" t="s">
        <v>1284</v>
      </c>
      <c r="Q26" s="6"/>
      <c r="R26" s="2" t="s">
        <v>1284</v>
      </c>
      <c r="S26" s="2"/>
      <c r="T26" s="2"/>
      <c r="U26" s="3" t="b">
        <f>IF(T26&gt;=90,TRUE(),FALSE())</f>
        <v>0</v>
      </c>
    </row>
    <row r="27">
      <c r="A27" s="2" t="s">
        <v>1681</v>
      </c>
      <c r="B27" s="3" t="str">
        <f>A27</f>
        <v>ssi-pred-f-transportchecked-5</v>
      </c>
      <c r="C27" s="3" t="str">
        <f>"/admin/state-machine/instances/" &amp; A27</f>
        <v>/admin/state-machine/instances/ssi-pred-f-transportchecked-5</v>
      </c>
      <c r="D27" s="2" t="s">
        <v>1451</v>
      </c>
      <c r="E27" s="2" t="s">
        <v>10</v>
      </c>
      <c r="F27" s="2" t="s">
        <v>640</v>
      </c>
      <c r="G27" s="2" t="s">
        <v>1476</v>
      </c>
      <c r="H27" s="6">
        <v>46178.375</v>
      </c>
      <c r="I27" s="6">
        <v>46179.375</v>
      </c>
      <c r="J27" s="2">
        <v>5</v>
      </c>
      <c r="K27" s="2" t="s">
        <v>1680</v>
      </c>
      <c r="L27" s="2" t="s">
        <v>1578</v>
      </c>
      <c r="M27" s="3" t="b">
        <f>ISBLANK(I27)</f>
        <v>0</v>
      </c>
      <c r="N27" s="3" t="b">
        <f>J27&gt;=1</f>
        <v>1</v>
      </c>
      <c r="O27" s="6"/>
      <c r="P27" s="2" t="s">
        <v>1284</v>
      </c>
      <c r="Q27" s="6"/>
      <c r="R27" s="2" t="s">
        <v>1284</v>
      </c>
      <c r="S27" s="2"/>
      <c r="T27" s="2"/>
      <c r="U27" s="3" t="b">
        <f>IF(T27&gt;=90,TRUE(),FALSE())</f>
        <v>0</v>
      </c>
    </row>
    <row r="28">
      <c r="A28" s="2" t="s">
        <v>1682</v>
      </c>
      <c r="B28" s="3" t="str">
        <f>A28</f>
        <v>ssi-pred-f-notactionable-6</v>
      </c>
      <c r="C28" s="3" t="str">
        <f>"/admin/state-machine/instances/" &amp; A28</f>
        <v>/admin/state-machine/instances/ssi-pred-f-notactionable-6</v>
      </c>
      <c r="D28" s="2" t="s">
        <v>1451</v>
      </c>
      <c r="E28" s="2" t="s">
        <v>10</v>
      </c>
      <c r="F28" s="2" t="s">
        <v>640</v>
      </c>
      <c r="G28" s="2" t="s">
        <v>1480</v>
      </c>
      <c r="H28" s="6">
        <v>46179.375</v>
      </c>
      <c r="I28" s="6"/>
      <c r="J28" s="2">
        <v>6</v>
      </c>
      <c r="K28" s="2" t="s">
        <v>1681</v>
      </c>
      <c r="L28" s="2" t="s">
        <v>1579</v>
      </c>
      <c r="M28" s="3" t="b">
        <f>ISBLANK(I28)</f>
        <v>1</v>
      </c>
      <c r="N28" s="3" t="b">
        <f>J28&gt;=1</f>
        <v>1</v>
      </c>
      <c r="O28" s="6"/>
      <c r="P28" s="2" t="s">
        <v>1284</v>
      </c>
      <c r="Q28" s="6"/>
      <c r="R28" s="2" t="s">
        <v>1284</v>
      </c>
      <c r="S28" s="2"/>
      <c r="T28" s="2"/>
      <c r="U28" s="3" t="b">
        <f>IF(T28&gt;=90,TRUE(),FALSE())</f>
        <v>0</v>
      </c>
    </row>
    <row r="29">
      <c r="A29" s="2" t="s">
        <v>1683</v>
      </c>
      <c r="B29" s="3" t="str">
        <f>A29</f>
        <v>ssi-pred-g-intake-1</v>
      </c>
      <c r="C29" s="3" t="str">
        <f>"/admin/state-machine/instances/" &amp; A29</f>
        <v>/admin/state-machine/instances/ssi-pred-g-intake-1</v>
      </c>
      <c r="D29" s="2" t="s">
        <v>1451</v>
      </c>
      <c r="E29" s="2" t="s">
        <v>10</v>
      </c>
      <c r="F29" s="2" t="s">
        <v>641</v>
      </c>
      <c r="G29" s="2" t="s">
        <v>1274</v>
      </c>
      <c r="H29" s="6">
        <v>46174.375</v>
      </c>
      <c r="I29" s="6">
        <v>46175.375</v>
      </c>
      <c r="J29" s="2">
        <v>1</v>
      </c>
      <c r="K29" s="2"/>
      <c r="L29" s="2"/>
      <c r="M29" s="3" t="b">
        <f>ISBLANK(I29)</f>
        <v>0</v>
      </c>
      <c r="N29" s="3" t="b">
        <f>J29&gt;=1</f>
        <v>1</v>
      </c>
      <c r="O29" s="6"/>
      <c r="P29" s="2" t="s">
        <v>1284</v>
      </c>
      <c r="Q29" s="6"/>
      <c r="R29" s="2" t="s">
        <v>1284</v>
      </c>
      <c r="S29" s="2"/>
      <c r="T29" s="2"/>
      <c r="U29" s="3" t="b">
        <f>IF(T29&gt;=90,TRUE(),FALSE())</f>
        <v>0</v>
      </c>
    </row>
    <row r="30">
      <c r="A30" s="2" t="s">
        <v>1684</v>
      </c>
      <c r="B30" s="3" t="str">
        <f>A30</f>
        <v>ssi-pred-g-evidenceassessed-2</v>
      </c>
      <c r="C30" s="3" t="str">
        <f>"/admin/state-machine/instances/" &amp; A30</f>
        <v>/admin/state-machine/instances/ssi-pred-g-evidenceassessed-2</v>
      </c>
      <c r="D30" s="2" t="s">
        <v>1451</v>
      </c>
      <c r="E30" s="2" t="s">
        <v>10</v>
      </c>
      <c r="F30" s="2" t="s">
        <v>641</v>
      </c>
      <c r="G30" s="2" t="s">
        <v>1470</v>
      </c>
      <c r="H30" s="6">
        <v>46175.375</v>
      </c>
      <c r="I30" s="6">
        <v>46176.375</v>
      </c>
      <c r="J30" s="2">
        <v>2</v>
      </c>
      <c r="K30" s="2" t="s">
        <v>1683</v>
      </c>
      <c r="L30" s="2" t="s">
        <v>1581</v>
      </c>
      <c r="M30" s="3" t="b">
        <f>ISBLANK(I30)</f>
        <v>0</v>
      </c>
      <c r="N30" s="3" t="b">
        <f>J30&gt;=1</f>
        <v>1</v>
      </c>
      <c r="O30" s="6"/>
      <c r="P30" s="2" t="s">
        <v>1284</v>
      </c>
      <c r="Q30" s="6"/>
      <c r="R30" s="2" t="s">
        <v>1284</v>
      </c>
      <c r="S30" s="2"/>
      <c r="T30" s="2"/>
      <c r="U30" s="3" t="b">
        <f>IF(T30&gt;=90,TRUE(),FALSE())</f>
        <v>0</v>
      </c>
    </row>
    <row r="31">
      <c r="A31" s="2" t="s">
        <v>1685</v>
      </c>
      <c r="B31" s="3" t="str">
        <f>A31</f>
        <v>ssi-pred-g-mechanismconfirmed-3</v>
      </c>
      <c r="C31" s="3" t="str">
        <f>"/admin/state-machine/instances/" &amp; A31</f>
        <v>/admin/state-machine/instances/ssi-pred-g-mechanismconfirmed-3</v>
      </c>
      <c r="D31" s="2" t="s">
        <v>1451</v>
      </c>
      <c r="E31" s="2" t="s">
        <v>10</v>
      </c>
      <c r="F31" s="2" t="s">
        <v>641</v>
      </c>
      <c r="G31" s="2" t="s">
        <v>1472</v>
      </c>
      <c r="H31" s="6">
        <v>46176.375</v>
      </c>
      <c r="I31" s="6">
        <v>46177.375</v>
      </c>
      <c r="J31" s="2">
        <v>3</v>
      </c>
      <c r="K31" s="2" t="s">
        <v>1684</v>
      </c>
      <c r="L31" s="2" t="s">
        <v>1582</v>
      </c>
      <c r="M31" s="3" t="b">
        <f>ISBLANK(I31)</f>
        <v>0</v>
      </c>
      <c r="N31" s="3" t="b">
        <f>J31&gt;=1</f>
        <v>1</v>
      </c>
      <c r="O31" s="6"/>
      <c r="P31" s="2" t="s">
        <v>1284</v>
      </c>
      <c r="Q31" s="6"/>
      <c r="R31" s="2" t="s">
        <v>1284</v>
      </c>
      <c r="S31" s="2"/>
      <c r="T31" s="2"/>
      <c r="U31" s="3" t="b">
        <f>IF(T31&gt;=90,TRUE(),FALSE())</f>
        <v>0</v>
      </c>
    </row>
    <row r="32">
      <c r="A32" s="2" t="s">
        <v>1686</v>
      </c>
      <c r="B32" s="3" t="str">
        <f>A32</f>
        <v>ssi-pred-g-calibrationchecked-4</v>
      </c>
      <c r="C32" s="3" t="str">
        <f>"/admin/state-machine/instances/" &amp; A32</f>
        <v>/admin/state-machine/instances/ssi-pred-g-calibrationchecked-4</v>
      </c>
      <c r="D32" s="2" t="s">
        <v>1451</v>
      </c>
      <c r="E32" s="2" t="s">
        <v>10</v>
      </c>
      <c r="F32" s="2" t="s">
        <v>641</v>
      </c>
      <c r="G32" s="2" t="s">
        <v>1474</v>
      </c>
      <c r="H32" s="6">
        <v>46177.375</v>
      </c>
      <c r="I32" s="6">
        <v>46178.375</v>
      </c>
      <c r="J32" s="2">
        <v>4</v>
      </c>
      <c r="K32" s="2" t="s">
        <v>1685</v>
      </c>
      <c r="L32" s="2" t="s">
        <v>1583</v>
      </c>
      <c r="M32" s="3" t="b">
        <f>ISBLANK(I32)</f>
        <v>0</v>
      </c>
      <c r="N32" s="3" t="b">
        <f>J32&gt;=1</f>
        <v>1</v>
      </c>
      <c r="O32" s="6"/>
      <c r="P32" s="2" t="s">
        <v>1284</v>
      </c>
      <c r="Q32" s="6"/>
      <c r="R32" s="2" t="s">
        <v>1284</v>
      </c>
      <c r="S32" s="2"/>
      <c r="T32" s="2"/>
      <c r="U32" s="3" t="b">
        <f>IF(T32&gt;=90,TRUE(),FALSE())</f>
        <v>0</v>
      </c>
    </row>
    <row r="33">
      <c r="A33" s="2" t="s">
        <v>1687</v>
      </c>
      <c r="B33" s="3" t="str">
        <f>A33</f>
        <v>ssi-pred-g-transportchecked-5</v>
      </c>
      <c r="C33" s="3" t="str">
        <f>"/admin/state-machine/instances/" &amp; A33</f>
        <v>/admin/state-machine/instances/ssi-pred-g-transportchecked-5</v>
      </c>
      <c r="D33" s="2" t="s">
        <v>1451</v>
      </c>
      <c r="E33" s="2" t="s">
        <v>10</v>
      </c>
      <c r="F33" s="2" t="s">
        <v>641</v>
      </c>
      <c r="G33" s="2" t="s">
        <v>1476</v>
      </c>
      <c r="H33" s="6">
        <v>46178.375</v>
      </c>
      <c r="I33" s="6">
        <v>46179.375</v>
      </c>
      <c r="J33" s="2">
        <v>5</v>
      </c>
      <c r="K33" s="2" t="s">
        <v>1686</v>
      </c>
      <c r="L33" s="2" t="s">
        <v>1584</v>
      </c>
      <c r="M33" s="3" t="b">
        <f>ISBLANK(I33)</f>
        <v>0</v>
      </c>
      <c r="N33" s="3" t="b">
        <f>J33&gt;=1</f>
        <v>1</v>
      </c>
      <c r="O33" s="6"/>
      <c r="P33" s="2" t="s">
        <v>1284</v>
      </c>
      <c r="Q33" s="6"/>
      <c r="R33" s="2" t="s">
        <v>1284</v>
      </c>
      <c r="S33" s="2"/>
      <c r="T33" s="2"/>
      <c r="U33" s="3" t="b">
        <f>IF(T33&gt;=90,TRUE(),FALSE())</f>
        <v>0</v>
      </c>
    </row>
    <row r="34">
      <c r="A34" s="2" t="s">
        <v>1688</v>
      </c>
      <c r="B34" s="3" t="str">
        <f>A34</f>
        <v>ssi-pred-g-actionable-6</v>
      </c>
      <c r="C34" s="3" t="str">
        <f>"/admin/state-machine/instances/" &amp; A34</f>
        <v>/admin/state-machine/instances/ssi-pred-g-actionable-6</v>
      </c>
      <c r="D34" s="2" t="s">
        <v>1451</v>
      </c>
      <c r="E34" s="2" t="s">
        <v>10</v>
      </c>
      <c r="F34" s="2" t="s">
        <v>641</v>
      </c>
      <c r="G34" s="2" t="s">
        <v>1478</v>
      </c>
      <c r="H34" s="6">
        <v>46179.375</v>
      </c>
      <c r="I34" s="6"/>
      <c r="J34" s="2">
        <v>6</v>
      </c>
      <c r="K34" s="2" t="s">
        <v>1687</v>
      </c>
      <c r="L34" s="2" t="s">
        <v>1585</v>
      </c>
      <c r="M34" s="3" t="b">
        <f>ISBLANK(I34)</f>
        <v>1</v>
      </c>
      <c r="N34" s="3" t="b">
        <f>J34&gt;=1</f>
        <v>1</v>
      </c>
      <c r="O34" s="6"/>
      <c r="P34" s="2" t="s">
        <v>1284</v>
      </c>
      <c r="Q34" s="6"/>
      <c r="R34" s="2" t="s">
        <v>1284</v>
      </c>
      <c r="S34" s="2"/>
      <c r="T34" s="2"/>
      <c r="U34" s="3" t="b">
        <f>IF(T34&gt;=90,TRUE(),FALSE())</f>
        <v>0</v>
      </c>
    </row>
    <row r="35">
      <c r="A35" s="2" t="s">
        <v>1689</v>
      </c>
      <c r="B35" s="3" t="str">
        <f>A35</f>
        <v>ssi-ind-a-reyes-presymptomaticautoimmunity-1</v>
      </c>
      <c r="C35" s="3" t="str">
        <f>"/admin/state-machine/instances/" &amp; A35</f>
        <v>/admin/state-machine/instances/ssi-ind-a-reyes-presymptomaticautoimmunity-1</v>
      </c>
      <c r="D35" s="2" t="s">
        <v>1454</v>
      </c>
      <c r="E35" s="2" t="s">
        <v>73</v>
      </c>
      <c r="F35" s="2" t="s">
        <v>145</v>
      </c>
      <c r="G35" s="2" t="s">
        <v>1485</v>
      </c>
      <c r="H35" s="6">
        <v>45901</v>
      </c>
      <c r="I35" s="6">
        <v>45992</v>
      </c>
      <c r="J35" s="2">
        <v>1</v>
      </c>
      <c r="K35" s="2"/>
      <c r="L35" s="2" t="s">
        <v>1587</v>
      </c>
      <c r="M35" s="3" t="b">
        <f>ISBLANK(I35)</f>
        <v>0</v>
      </c>
      <c r="N35" s="3" t="b">
        <f>J35&gt;=1</f>
        <v>1</v>
      </c>
      <c r="O35" s="6">
        <v>46193</v>
      </c>
      <c r="P35" s="2" t="s">
        <v>1457</v>
      </c>
      <c r="Q35" s="6">
        <v>46193</v>
      </c>
      <c r="R35" s="2" t="s">
        <v>1457</v>
      </c>
      <c r="S35" s="2" t="s">
        <v>1458</v>
      </c>
      <c r="T35" s="2">
        <v>90</v>
      </c>
      <c r="U35" s="3" t="b">
        <f>IF(T35&gt;=90,TRUE(),FALSE())</f>
        <v>1</v>
      </c>
    </row>
    <row r="36">
      <c r="A36" s="2" t="s">
        <v>1690</v>
      </c>
      <c r="B36" s="3" t="str">
        <f>A36</f>
        <v>ssi-ind-a-reyes-serologicactive-2</v>
      </c>
      <c r="C36" s="3" t="str">
        <f>"/admin/state-machine/instances/" &amp; A36</f>
        <v>/admin/state-machine/instances/ssi-ind-a-reyes-serologicactive-2</v>
      </c>
      <c r="D36" s="2" t="s">
        <v>1454</v>
      </c>
      <c r="E36" s="2" t="s">
        <v>73</v>
      </c>
      <c r="F36" s="2" t="s">
        <v>145</v>
      </c>
      <c r="G36" s="2" t="s">
        <v>1488</v>
      </c>
      <c r="H36" s="6">
        <v>45992</v>
      </c>
      <c r="I36" s="6"/>
      <c r="J36" s="2">
        <v>2</v>
      </c>
      <c r="K36" s="2" t="s">
        <v>1689</v>
      </c>
      <c r="L36" s="2" t="s">
        <v>1589</v>
      </c>
      <c r="M36" s="3" t="b">
        <f>ISBLANK(I36)</f>
        <v>1</v>
      </c>
      <c r="N36" s="3" t="b">
        <f>J36&gt;=1</f>
        <v>1</v>
      </c>
      <c r="O36" s="6">
        <v>46193</v>
      </c>
      <c r="P36" s="2" t="s">
        <v>1457</v>
      </c>
      <c r="Q36" s="6">
        <v>46193</v>
      </c>
      <c r="R36" s="2" t="s">
        <v>1457</v>
      </c>
      <c r="S36" s="2" t="s">
        <v>1458</v>
      </c>
      <c r="T36" s="2">
        <v>120</v>
      </c>
      <c r="U36" s="3" t="b">
        <f>IF(T36&gt;=90,TRUE(),FALSE())</f>
        <v>1</v>
      </c>
    </row>
    <row r="37">
      <c r="A37" s="2" t="s">
        <v>1691</v>
      </c>
      <c r="B37" s="3" t="str">
        <f>A37</f>
        <v>ssi-ind-b-okafor-presymptomaticautoimmunity-1</v>
      </c>
      <c r="C37" s="3" t="str">
        <f>"/admin/state-machine/instances/" &amp; A37</f>
        <v>/admin/state-machine/instances/ssi-ind-b-okafor-presymptomaticautoimmunity-1</v>
      </c>
      <c r="D37" s="2" t="s">
        <v>1454</v>
      </c>
      <c r="E37" s="2" t="s">
        <v>73</v>
      </c>
      <c r="F37" s="2" t="s">
        <v>150</v>
      </c>
      <c r="G37" s="2" t="s">
        <v>1485</v>
      </c>
      <c r="H37" s="6">
        <v>45884</v>
      </c>
      <c r="I37" s="6"/>
      <c r="J37" s="2">
        <v>1</v>
      </c>
      <c r="K37" s="2"/>
      <c r="L37" s="2" t="s">
        <v>1591</v>
      </c>
      <c r="M37" s="3" t="b">
        <f>ISBLANK(I37)</f>
        <v>1</v>
      </c>
      <c r="N37" s="3" t="b">
        <f>J37&gt;=1</f>
        <v>1</v>
      </c>
      <c r="O37" s="6">
        <v>46193</v>
      </c>
      <c r="P37" s="2" t="s">
        <v>1457</v>
      </c>
      <c r="Q37" s="6">
        <v>46193</v>
      </c>
      <c r="R37" s="2" t="s">
        <v>1457</v>
      </c>
      <c r="S37" s="2" t="s">
        <v>1458</v>
      </c>
      <c r="T37" s="2">
        <v>120</v>
      </c>
      <c r="U37" s="3" t="b">
        <f>IF(T37&gt;=90,TRUE(),FALSE())</f>
        <v>1</v>
      </c>
    </row>
    <row r="38">
      <c r="A38" s="2" t="s">
        <v>1692</v>
      </c>
      <c r="B38" s="3" t="str">
        <f>A38</f>
        <v>ssi-ind-c-chen-presymptomaticautoimmunity-1</v>
      </c>
      <c r="C38" s="3" t="str">
        <f>"/admin/state-machine/instances/" &amp; A38</f>
        <v>/admin/state-machine/instances/ssi-ind-c-chen-presymptomaticautoimmunity-1</v>
      </c>
      <c r="D38" s="2" t="s">
        <v>1454</v>
      </c>
      <c r="E38" s="2" t="s">
        <v>73</v>
      </c>
      <c r="F38" s="2" t="s">
        <v>154</v>
      </c>
      <c r="G38" s="2" t="s">
        <v>1485</v>
      </c>
      <c r="H38" s="6">
        <v>45839</v>
      </c>
      <c r="I38" s="6">
        <v>45931</v>
      </c>
      <c r="J38" s="2">
        <v>1</v>
      </c>
      <c r="K38" s="2"/>
      <c r="L38" s="2" t="s">
        <v>1592</v>
      </c>
      <c r="M38" s="3" t="b">
        <f>ISBLANK(I38)</f>
        <v>0</v>
      </c>
      <c r="N38" s="3" t="b">
        <f>J38&gt;=1</f>
        <v>1</v>
      </c>
      <c r="O38" s="6">
        <v>46193</v>
      </c>
      <c r="P38" s="2" t="s">
        <v>1457</v>
      </c>
      <c r="Q38" s="6">
        <v>46193</v>
      </c>
      <c r="R38" s="2" t="s">
        <v>1457</v>
      </c>
      <c r="S38" s="2" t="s">
        <v>1458</v>
      </c>
      <c r="T38" s="2">
        <v>90</v>
      </c>
      <c r="U38" s="3" t="b">
        <f>IF(T38&gt;=90,TRUE(),FALSE())</f>
        <v>1</v>
      </c>
    </row>
    <row r="39">
      <c r="A39" s="2" t="s">
        <v>1693</v>
      </c>
      <c r="B39" s="3" t="str">
        <f>A39</f>
        <v>ssi-ind-c-chen-serologicactive-2</v>
      </c>
      <c r="C39" s="3" t="str">
        <f>"/admin/state-machine/instances/" &amp; A39</f>
        <v>/admin/state-machine/instances/ssi-ind-c-chen-serologicactive-2</v>
      </c>
      <c r="D39" s="2" t="s">
        <v>1454</v>
      </c>
      <c r="E39" s="2" t="s">
        <v>73</v>
      </c>
      <c r="F39" s="2" t="s">
        <v>154</v>
      </c>
      <c r="G39" s="2" t="s">
        <v>1488</v>
      </c>
      <c r="H39" s="6">
        <v>45931</v>
      </c>
      <c r="I39" s="6"/>
      <c r="J39" s="2">
        <v>2</v>
      </c>
      <c r="K39" s="2" t="s">
        <v>1692</v>
      </c>
      <c r="L39" s="2" t="s">
        <v>1593</v>
      </c>
      <c r="M39" s="3" t="b">
        <f>ISBLANK(I39)</f>
        <v>1</v>
      </c>
      <c r="N39" s="3" t="b">
        <f>J39&gt;=1</f>
        <v>1</v>
      </c>
      <c r="O39" s="6">
        <v>46193</v>
      </c>
      <c r="P39" s="2" t="s">
        <v>1457</v>
      </c>
      <c r="Q39" s="6">
        <v>46193</v>
      </c>
      <c r="R39" s="2" t="s">
        <v>1457</v>
      </c>
      <c r="S39" s="2" t="s">
        <v>1458</v>
      </c>
      <c r="T39" s="2">
        <v>120</v>
      </c>
      <c r="U39" s="3" t="b">
        <f>IF(T39&gt;=90,TRUE(),FALSE())</f>
        <v>1</v>
      </c>
    </row>
    <row r="40">
      <c r="A40" s="2" t="s">
        <v>1694</v>
      </c>
      <c r="B40" s="3" t="str">
        <f>A40</f>
        <v>ssi-ind-d-santos-presymptomaticautoimmunity-1</v>
      </c>
      <c r="C40" s="3" t="str">
        <f>"/admin/state-machine/instances/" &amp; A40</f>
        <v>/admin/state-machine/instances/ssi-ind-d-santos-presymptomaticautoimmunity-1</v>
      </c>
      <c r="D40" s="2" t="s">
        <v>1454</v>
      </c>
      <c r="E40" s="2" t="s">
        <v>73</v>
      </c>
      <c r="F40" s="2" t="s">
        <v>159</v>
      </c>
      <c r="G40" s="2" t="s">
        <v>1485</v>
      </c>
      <c r="H40" s="6">
        <v>45809</v>
      </c>
      <c r="I40" s="6">
        <v>45901</v>
      </c>
      <c r="J40" s="2">
        <v>1</v>
      </c>
      <c r="K40" s="2"/>
      <c r="L40" s="2" t="s">
        <v>1594</v>
      </c>
      <c r="M40" s="3" t="b">
        <f>ISBLANK(I40)</f>
        <v>0</v>
      </c>
      <c r="N40" s="3" t="b">
        <f>J40&gt;=1</f>
        <v>1</v>
      </c>
      <c r="O40" s="6">
        <v>46193</v>
      </c>
      <c r="P40" s="2" t="s">
        <v>1457</v>
      </c>
      <c r="Q40" s="6">
        <v>46193</v>
      </c>
      <c r="R40" s="2" t="s">
        <v>1457</v>
      </c>
      <c r="S40" s="2" t="s">
        <v>1458</v>
      </c>
      <c r="T40" s="2">
        <v>90</v>
      </c>
      <c r="U40" s="3" t="b">
        <f>IF(T40&gt;=90,TRUE(),FALSE())</f>
        <v>1</v>
      </c>
    </row>
    <row r="41">
      <c r="A41" s="2" t="s">
        <v>1695</v>
      </c>
      <c r="B41" s="3" t="str">
        <f>A41</f>
        <v>ssi-ind-d-santos-renalflarerisk-2</v>
      </c>
      <c r="C41" s="3" t="str">
        <f>"/admin/state-machine/instances/" &amp; A41</f>
        <v>/admin/state-machine/instances/ssi-ind-d-santos-renalflarerisk-2</v>
      </c>
      <c r="D41" s="2" t="s">
        <v>1454</v>
      </c>
      <c r="E41" s="2" t="s">
        <v>73</v>
      </c>
      <c r="F41" s="2" t="s">
        <v>159</v>
      </c>
      <c r="G41" s="2" t="s">
        <v>1494</v>
      </c>
      <c r="H41" s="6">
        <v>45901</v>
      </c>
      <c r="I41" s="6">
        <v>45992</v>
      </c>
      <c r="J41" s="2">
        <v>2</v>
      </c>
      <c r="K41" s="2" t="s">
        <v>1694</v>
      </c>
      <c r="L41" s="2" t="s">
        <v>1595</v>
      </c>
      <c r="M41" s="3" t="b">
        <f>ISBLANK(I41)</f>
        <v>0</v>
      </c>
      <c r="N41" s="3" t="b">
        <f>J41&gt;=1</f>
        <v>1</v>
      </c>
      <c r="O41" s="6">
        <v>46193</v>
      </c>
      <c r="P41" s="2" t="s">
        <v>1457</v>
      </c>
      <c r="Q41" s="6">
        <v>46193</v>
      </c>
      <c r="R41" s="2" t="s">
        <v>1457</v>
      </c>
      <c r="S41" s="2" t="s">
        <v>1458</v>
      </c>
      <c r="T41" s="2">
        <v>90</v>
      </c>
      <c r="U41" s="3" t="b">
        <f>IF(T41&gt;=90,TRUE(),FALSE())</f>
        <v>1</v>
      </c>
    </row>
    <row r="42">
      <c r="A42" s="2" t="s">
        <v>1696</v>
      </c>
      <c r="B42" s="3" t="str">
        <f>A42</f>
        <v>ssi-ind-d-santos-biopsyindicated-3</v>
      </c>
      <c r="C42" s="3" t="str">
        <f>"/admin/state-machine/instances/" &amp; A42</f>
        <v>/admin/state-machine/instances/ssi-ind-d-santos-biopsyindicated-3</v>
      </c>
      <c r="D42" s="2" t="s">
        <v>1454</v>
      </c>
      <c r="E42" s="2" t="s">
        <v>73</v>
      </c>
      <c r="F42" s="2" t="s">
        <v>159</v>
      </c>
      <c r="G42" s="2" t="s">
        <v>1497</v>
      </c>
      <c r="H42" s="6">
        <v>45992</v>
      </c>
      <c r="I42" s="6"/>
      <c r="J42" s="2">
        <v>3</v>
      </c>
      <c r="K42" s="2" t="s">
        <v>1695</v>
      </c>
      <c r="L42" s="2" t="s">
        <v>1597</v>
      </c>
      <c r="M42" s="3" t="b">
        <f>ISBLANK(I42)</f>
        <v>1</v>
      </c>
      <c r="N42" s="3" t="b">
        <f>J42&gt;=1</f>
        <v>1</v>
      </c>
      <c r="O42" s="6">
        <v>46193</v>
      </c>
      <c r="P42" s="2" t="s">
        <v>1457</v>
      </c>
      <c r="Q42" s="6">
        <v>46193</v>
      </c>
      <c r="R42" s="2" t="s">
        <v>1457</v>
      </c>
      <c r="S42" s="2" t="s">
        <v>1458</v>
      </c>
      <c r="T42" s="2">
        <v>120</v>
      </c>
      <c r="U42" s="3" t="b">
        <f>IF(T42&gt;=90,TRUE(),FALSE())</f>
        <v>1</v>
      </c>
    </row>
    <row r="43">
      <c r="A43" s="2" t="s">
        <v>1697</v>
      </c>
      <c r="B43" s="3" t="str">
        <f>A43</f>
        <v>ssi-ind-e-mensah-presymptomaticautoimmunity-1</v>
      </c>
      <c r="C43" s="3" t="str">
        <f>"/admin/state-machine/instances/" &amp; A43</f>
        <v>/admin/state-machine/instances/ssi-ind-e-mensah-presymptomaticautoimmunity-1</v>
      </c>
      <c r="D43" s="2" t="s">
        <v>1454</v>
      </c>
      <c r="E43" s="2" t="s">
        <v>73</v>
      </c>
      <c r="F43" s="2" t="s">
        <v>163</v>
      </c>
      <c r="G43" s="2" t="s">
        <v>1485</v>
      </c>
      <c r="H43" s="6">
        <v>45870</v>
      </c>
      <c r="I43" s="6"/>
      <c r="J43" s="2">
        <v>1</v>
      </c>
      <c r="K43" s="2"/>
      <c r="L43" s="2" t="s">
        <v>1599</v>
      </c>
      <c r="M43" s="3" t="b">
        <f>ISBLANK(I43)</f>
        <v>1</v>
      </c>
      <c r="N43" s="3" t="b">
        <f>J43&gt;=1</f>
        <v>1</v>
      </c>
      <c r="O43" s="6">
        <v>46193</v>
      </c>
      <c r="P43" s="2" t="s">
        <v>1457</v>
      </c>
      <c r="Q43" s="6">
        <v>46193</v>
      </c>
      <c r="R43" s="2" t="s">
        <v>1457</v>
      </c>
      <c r="S43" s="2" t="s">
        <v>1458</v>
      </c>
      <c r="T43" s="2">
        <v>120</v>
      </c>
      <c r="U43" s="3" t="b">
        <f>IF(T43&gt;=90,TRUE(),FALSE())</f>
        <v>1</v>
      </c>
    </row>
    <row r="44">
      <c r="A44" s="2" t="s">
        <v>1698</v>
      </c>
      <c r="B44" s="3" t="str">
        <f>A44</f>
        <v>ssi-ind-f-haidar-presymptomaticautoimmunity-1</v>
      </c>
      <c r="C44" s="3" t="str">
        <f>"/admin/state-machine/instances/" &amp; A44</f>
        <v>/admin/state-machine/instances/ssi-ind-f-haidar-presymptomaticautoimmunity-1</v>
      </c>
      <c r="D44" s="2" t="s">
        <v>1454</v>
      </c>
      <c r="E44" s="2" t="s">
        <v>73</v>
      </c>
      <c r="F44" s="2" t="s">
        <v>168</v>
      </c>
      <c r="G44" s="2" t="s">
        <v>1485</v>
      </c>
      <c r="H44" s="6">
        <v>45910</v>
      </c>
      <c r="I44" s="6"/>
      <c r="J44" s="2">
        <v>1</v>
      </c>
      <c r="K44" s="2"/>
      <c r="L44" s="2" t="s">
        <v>1600</v>
      </c>
      <c r="M44" s="3" t="b">
        <f>ISBLANK(I44)</f>
        <v>1</v>
      </c>
      <c r="N44" s="3" t="b">
        <f>J44&gt;=1</f>
        <v>1</v>
      </c>
      <c r="O44" s="6">
        <v>46193</v>
      </c>
      <c r="P44" s="2" t="s">
        <v>1457</v>
      </c>
      <c r="Q44" s="6">
        <v>46193</v>
      </c>
      <c r="R44" s="2" t="s">
        <v>1457</v>
      </c>
      <c r="S44" s="2" t="s">
        <v>1458</v>
      </c>
      <c r="T44" s="2">
        <v>120</v>
      </c>
      <c r="U44" s="3" t="b">
        <f>IF(T44&gt;=90,TRUE(),FALSE())</f>
        <v>1</v>
      </c>
    </row>
    <row r="45">
      <c r="A45" s="2" t="s">
        <v>1699</v>
      </c>
      <c r="B45" s="3" t="str">
        <f>A45</f>
        <v>ssi-ind-g-lin-presymptomaticautoimmunity-1</v>
      </c>
      <c r="C45" s="3" t="str">
        <f>"/admin/state-machine/instances/" &amp; A45</f>
        <v>/admin/state-machine/instances/ssi-ind-g-lin-presymptomaticautoimmunity-1</v>
      </c>
      <c r="D45" s="2" t="s">
        <v>1454</v>
      </c>
      <c r="E45" s="2" t="s">
        <v>73</v>
      </c>
      <c r="F45" s="2" t="s">
        <v>173</v>
      </c>
      <c r="G45" s="2" t="s">
        <v>1485</v>
      </c>
      <c r="H45" s="6">
        <v>45905</v>
      </c>
      <c r="I45" s="6"/>
      <c r="J45" s="2">
        <v>1</v>
      </c>
      <c r="K45" s="2"/>
      <c r="L45" s="2" t="s">
        <v>1601</v>
      </c>
      <c r="M45" s="3" t="b">
        <f>ISBLANK(I45)</f>
        <v>1</v>
      </c>
      <c r="N45" s="3" t="b">
        <f>J45&gt;=1</f>
        <v>1</v>
      </c>
      <c r="O45" s="6">
        <v>46193</v>
      </c>
      <c r="P45" s="2" t="s">
        <v>1457</v>
      </c>
      <c r="Q45" s="6">
        <v>46193</v>
      </c>
      <c r="R45" s="2" t="s">
        <v>1457</v>
      </c>
      <c r="S45" s="2" t="s">
        <v>1458</v>
      </c>
      <c r="T45" s="2">
        <v>120</v>
      </c>
      <c r="U45" s="3" t="b">
        <f>IF(T45&gt;=90,TRUE(),FALSE())</f>
        <v>1</v>
      </c>
    </row>
    <row r="46">
      <c r="A46" s="2" t="s">
        <v>1700</v>
      </c>
      <c r="B46" s="3" t="str">
        <f>A46</f>
        <v>ssi-ind-h-yamamoto-presymptomaticautoimmunity-1</v>
      </c>
      <c r="C46" s="3" t="str">
        <f>"/admin/state-machine/instances/" &amp; A46</f>
        <v>/admin/state-machine/instances/ssi-ind-h-yamamoto-presymptomaticautoimmunity-1</v>
      </c>
      <c r="D46" s="2" t="s">
        <v>1454</v>
      </c>
      <c r="E46" s="2" t="s">
        <v>73</v>
      </c>
      <c r="F46" s="2" t="s">
        <v>177</v>
      </c>
      <c r="G46" s="2" t="s">
        <v>1485</v>
      </c>
      <c r="H46" s="6">
        <v>45858</v>
      </c>
      <c r="I46" s="6">
        <v>45950</v>
      </c>
      <c r="J46" s="2">
        <v>1</v>
      </c>
      <c r="K46" s="2"/>
      <c r="L46" s="2" t="s">
        <v>1602</v>
      </c>
      <c r="M46" s="3" t="b">
        <f>ISBLANK(I46)</f>
        <v>0</v>
      </c>
      <c r="N46" s="3" t="b">
        <f>J46&gt;=1</f>
        <v>1</v>
      </c>
      <c r="O46" s="6">
        <v>46193</v>
      </c>
      <c r="P46" s="2" t="s">
        <v>1457</v>
      </c>
      <c r="Q46" s="6">
        <v>46193</v>
      </c>
      <c r="R46" s="2" t="s">
        <v>1457</v>
      </c>
      <c r="S46" s="2" t="s">
        <v>1458</v>
      </c>
      <c r="T46" s="2">
        <v>90</v>
      </c>
      <c r="U46" s="3" t="b">
        <f>IF(T46&gt;=90,TRUE(),FALSE())</f>
        <v>1</v>
      </c>
    </row>
    <row r="47">
      <c r="A47" s="2" t="s">
        <v>1701</v>
      </c>
      <c r="B47" s="3" t="str">
        <f>A47</f>
        <v>ssi-ind-h-yamamoto-earlynephritis-2</v>
      </c>
      <c r="C47" s="3" t="str">
        <f>"/admin/state-machine/instances/" &amp; A47</f>
        <v>/admin/state-machine/instances/ssi-ind-h-yamamoto-earlynephritis-2</v>
      </c>
      <c r="D47" s="2" t="s">
        <v>1454</v>
      </c>
      <c r="E47" s="2" t="s">
        <v>73</v>
      </c>
      <c r="F47" s="2" t="s">
        <v>177</v>
      </c>
      <c r="G47" s="2" t="s">
        <v>1491</v>
      </c>
      <c r="H47" s="6">
        <v>45950</v>
      </c>
      <c r="I47" s="6"/>
      <c r="J47" s="2">
        <v>2</v>
      </c>
      <c r="K47" s="2" t="s">
        <v>1700</v>
      </c>
      <c r="L47" s="2" t="s">
        <v>1603</v>
      </c>
      <c r="M47" s="3" t="b">
        <f>ISBLANK(I47)</f>
        <v>1</v>
      </c>
      <c r="N47" s="3" t="b">
        <f>J47&gt;=1</f>
        <v>1</v>
      </c>
      <c r="O47" s="6">
        <v>46193</v>
      </c>
      <c r="P47" s="2" t="s">
        <v>1457</v>
      </c>
      <c r="Q47" s="6">
        <v>46193</v>
      </c>
      <c r="R47" s="2" t="s">
        <v>1457</v>
      </c>
      <c r="S47" s="2" t="s">
        <v>1458</v>
      </c>
      <c r="T47" s="2">
        <v>120</v>
      </c>
      <c r="U47" s="3" t="b">
        <f>IF(T47&gt;=90,TRUE(),FALSE())</f>
        <v>1</v>
      </c>
    </row>
    <row r="48">
      <c r="A48" s="2" t="s">
        <v>1702</v>
      </c>
      <c r="B48" s="3" t="str">
        <f>A48</f>
        <v>ssi-pred-h-intake-1</v>
      </c>
      <c r="C48" s="3" t="str">
        <f>"/admin/state-machine/instances/" &amp; A48</f>
        <v>/admin/state-machine/instances/ssi-pred-h-intake-1</v>
      </c>
      <c r="D48" s="2" t="s">
        <v>1451</v>
      </c>
      <c r="E48" s="2" t="s">
        <v>10</v>
      </c>
      <c r="F48" s="2" t="s">
        <v>642</v>
      </c>
      <c r="G48" s="2" t="s">
        <v>1274</v>
      </c>
      <c r="H48" s="6">
        <v>46175.375</v>
      </c>
      <c r="I48" s="6">
        <v>46176.375</v>
      </c>
      <c r="J48" s="2">
        <v>1</v>
      </c>
      <c r="K48" s="2"/>
      <c r="L48" s="2" t="s">
        <v>1605</v>
      </c>
      <c r="M48" s="3" t="b">
        <f>ISBLANK(I48)</f>
        <v>0</v>
      </c>
      <c r="N48" s="3" t="b">
        <f>J48&gt;=1</f>
        <v>1</v>
      </c>
      <c r="O48" s="6">
        <v>46193</v>
      </c>
      <c r="P48" s="2" t="s">
        <v>1607</v>
      </c>
      <c r="Q48" s="6">
        <v>46193</v>
      </c>
      <c r="R48" s="2" t="s">
        <v>1607</v>
      </c>
      <c r="S48" s="2" t="s">
        <v>1458</v>
      </c>
      <c r="T48" s="2">
        <v>1</v>
      </c>
      <c r="U48" s="3" t="b">
        <f>IF(T48&gt;=90,TRUE(),FALSE())</f>
        <v>0</v>
      </c>
    </row>
    <row r="49">
      <c r="A49" s="2" t="s">
        <v>1703</v>
      </c>
      <c r="B49" s="3" t="str">
        <f>A49</f>
        <v>ssi-pred-h-evidenceassessed-2</v>
      </c>
      <c r="C49" s="3" t="str">
        <f>"/admin/state-machine/instances/" &amp; A49</f>
        <v>/admin/state-machine/instances/ssi-pred-h-evidenceassessed-2</v>
      </c>
      <c r="D49" s="2" t="s">
        <v>1451</v>
      </c>
      <c r="E49" s="2" t="s">
        <v>10</v>
      </c>
      <c r="F49" s="2" t="s">
        <v>642</v>
      </c>
      <c r="G49" s="2" t="s">
        <v>1470</v>
      </c>
      <c r="H49" s="6">
        <v>46176.375</v>
      </c>
      <c r="I49" s="6">
        <v>46177.375</v>
      </c>
      <c r="J49" s="2">
        <v>2</v>
      </c>
      <c r="K49" s="2" t="s">
        <v>1702</v>
      </c>
      <c r="L49" s="2" t="s">
        <v>1608</v>
      </c>
      <c r="M49" s="3" t="b">
        <f>ISBLANK(I49)</f>
        <v>0</v>
      </c>
      <c r="N49" s="3" t="b">
        <f>J49&gt;=1</f>
        <v>1</v>
      </c>
      <c r="O49" s="6">
        <v>46193</v>
      </c>
      <c r="P49" s="2" t="s">
        <v>1607</v>
      </c>
      <c r="Q49" s="6">
        <v>46193</v>
      </c>
      <c r="R49" s="2" t="s">
        <v>1607</v>
      </c>
      <c r="S49" s="2" t="s">
        <v>1458</v>
      </c>
      <c r="T49" s="2">
        <v>1</v>
      </c>
      <c r="U49" s="3" t="b">
        <f>IF(T49&gt;=90,TRUE(),FALSE())</f>
        <v>0</v>
      </c>
    </row>
    <row r="50">
      <c r="A50" s="2" t="s">
        <v>1704</v>
      </c>
      <c r="B50" s="3" t="str">
        <f>A50</f>
        <v>ssi-pred-h-mechanismconfirmed-3</v>
      </c>
      <c r="C50" s="3" t="str">
        <f>"/admin/state-machine/instances/" &amp; A50</f>
        <v>/admin/state-machine/instances/ssi-pred-h-mechanismconfirmed-3</v>
      </c>
      <c r="D50" s="2" t="s">
        <v>1451</v>
      </c>
      <c r="E50" s="2" t="s">
        <v>10</v>
      </c>
      <c r="F50" s="2" t="s">
        <v>642</v>
      </c>
      <c r="G50" s="2" t="s">
        <v>1472</v>
      </c>
      <c r="H50" s="6">
        <v>46177.375</v>
      </c>
      <c r="I50" s="6">
        <v>46178.375</v>
      </c>
      <c r="J50" s="2">
        <v>3</v>
      </c>
      <c r="K50" s="2" t="s">
        <v>1703</v>
      </c>
      <c r="L50" s="2" t="s">
        <v>1610</v>
      </c>
      <c r="M50" s="3" t="b">
        <f>ISBLANK(I50)</f>
        <v>0</v>
      </c>
      <c r="N50" s="3" t="b">
        <f>J50&gt;=1</f>
        <v>1</v>
      </c>
      <c r="O50" s="6">
        <v>46193</v>
      </c>
      <c r="P50" s="2" t="s">
        <v>1607</v>
      </c>
      <c r="Q50" s="6">
        <v>46193</v>
      </c>
      <c r="R50" s="2" t="s">
        <v>1607</v>
      </c>
      <c r="S50" s="2" t="s">
        <v>1458</v>
      </c>
      <c r="T50" s="2">
        <v>1</v>
      </c>
      <c r="U50" s="3" t="b">
        <f>IF(T50&gt;=90,TRUE(),FALSE())</f>
        <v>0</v>
      </c>
    </row>
    <row r="51">
      <c r="A51" s="2" t="s">
        <v>1705</v>
      </c>
      <c r="B51" s="3" t="str">
        <f>A51</f>
        <v>ssi-pred-h-calibrationchecked-4</v>
      </c>
      <c r="C51" s="3" t="str">
        <f>"/admin/state-machine/instances/" &amp; A51</f>
        <v>/admin/state-machine/instances/ssi-pred-h-calibrationchecked-4</v>
      </c>
      <c r="D51" s="2" t="s">
        <v>1451</v>
      </c>
      <c r="E51" s="2" t="s">
        <v>10</v>
      </c>
      <c r="F51" s="2" t="s">
        <v>642</v>
      </c>
      <c r="G51" s="2" t="s">
        <v>1474</v>
      </c>
      <c r="H51" s="6">
        <v>46178.375</v>
      </c>
      <c r="I51" s="6">
        <v>46179.375</v>
      </c>
      <c r="J51" s="2">
        <v>4</v>
      </c>
      <c r="K51" s="2" t="s">
        <v>1704</v>
      </c>
      <c r="L51" s="2" t="s">
        <v>1612</v>
      </c>
      <c r="M51" s="3" t="b">
        <f>ISBLANK(I51)</f>
        <v>0</v>
      </c>
      <c r="N51" s="3" t="b">
        <f>J51&gt;=1</f>
        <v>1</v>
      </c>
      <c r="O51" s="6">
        <v>46193</v>
      </c>
      <c r="P51" s="2" t="s">
        <v>1607</v>
      </c>
      <c r="Q51" s="6">
        <v>46193</v>
      </c>
      <c r="R51" s="2" t="s">
        <v>1607</v>
      </c>
      <c r="S51" s="2" t="s">
        <v>1458</v>
      </c>
      <c r="T51" s="2">
        <v>1</v>
      </c>
      <c r="U51" s="3" t="b">
        <f>IF(T51&gt;=90,TRUE(),FALSE())</f>
        <v>0</v>
      </c>
    </row>
    <row r="52">
      <c r="A52" s="2" t="s">
        <v>1706</v>
      </c>
      <c r="B52" s="3" t="str">
        <f>A52</f>
        <v>ssi-pred-h-transportchecked-5</v>
      </c>
      <c r="C52" s="3" t="str">
        <f>"/admin/state-machine/instances/" &amp; A52</f>
        <v>/admin/state-machine/instances/ssi-pred-h-transportchecked-5</v>
      </c>
      <c r="D52" s="2" t="s">
        <v>1451</v>
      </c>
      <c r="E52" s="2" t="s">
        <v>10</v>
      </c>
      <c r="F52" s="2" t="s">
        <v>642</v>
      </c>
      <c r="G52" s="2" t="s">
        <v>1476</v>
      </c>
      <c r="H52" s="6">
        <v>46179.375</v>
      </c>
      <c r="I52" s="6">
        <v>46180.375</v>
      </c>
      <c r="J52" s="2">
        <v>5</v>
      </c>
      <c r="K52" s="2" t="s">
        <v>1705</v>
      </c>
      <c r="L52" s="2" t="s">
        <v>1614</v>
      </c>
      <c r="M52" s="3" t="b">
        <f>ISBLANK(I52)</f>
        <v>0</v>
      </c>
      <c r="N52" s="3" t="b">
        <f>J52&gt;=1</f>
        <v>1</v>
      </c>
      <c r="O52" s="6">
        <v>46193</v>
      </c>
      <c r="P52" s="2" t="s">
        <v>1607</v>
      </c>
      <c r="Q52" s="6">
        <v>46193</v>
      </c>
      <c r="R52" s="2" t="s">
        <v>1607</v>
      </c>
      <c r="S52" s="2" t="s">
        <v>1458</v>
      </c>
      <c r="T52" s="2">
        <v>1</v>
      </c>
      <c r="U52" s="3" t="b">
        <f>IF(T52&gt;=90,TRUE(),FALSE())</f>
        <v>0</v>
      </c>
    </row>
    <row r="53">
      <c r="A53" s="2" t="s">
        <v>1707</v>
      </c>
      <c r="B53" s="3" t="str">
        <f>A53</f>
        <v>ssi-pred-h-actionable-6</v>
      </c>
      <c r="C53" s="3" t="str">
        <f>"/admin/state-machine/instances/" &amp; A53</f>
        <v>/admin/state-machine/instances/ssi-pred-h-actionable-6</v>
      </c>
      <c r="D53" s="2" t="s">
        <v>1451</v>
      </c>
      <c r="E53" s="2" t="s">
        <v>10</v>
      </c>
      <c r="F53" s="2" t="s">
        <v>642</v>
      </c>
      <c r="G53" s="2" t="s">
        <v>1478</v>
      </c>
      <c r="H53" s="6">
        <v>46180.375</v>
      </c>
      <c r="I53" s="6"/>
      <c r="J53" s="2">
        <v>6</v>
      </c>
      <c r="K53" s="2" t="s">
        <v>1706</v>
      </c>
      <c r="L53" s="2" t="s">
        <v>1616</v>
      </c>
      <c r="M53" s="3" t="b">
        <f>ISBLANK(I53)</f>
        <v>1</v>
      </c>
      <c r="N53" s="3" t="b">
        <f>J53&gt;=1</f>
        <v>1</v>
      </c>
      <c r="O53" s="6">
        <v>46193</v>
      </c>
      <c r="P53" s="2" t="s">
        <v>1607</v>
      </c>
      <c r="Q53" s="6">
        <v>46193</v>
      </c>
      <c r="R53" s="2" t="s">
        <v>1607</v>
      </c>
      <c r="S53" s="2" t="s">
        <v>1458</v>
      </c>
      <c r="T53" s="2">
        <v>1</v>
      </c>
      <c r="U53" s="3" t="b">
        <f>IF(T53&gt;=90,TRUE(),FALSE())</f>
        <v>0</v>
      </c>
    </row>
    <row r="54">
      <c r="A54" s="2" t="s">
        <v>1708</v>
      </c>
      <c r="B54" s="3" t="str">
        <f>A54</f>
        <v>ssi-ind-i-conteh-earlynephritis-1</v>
      </c>
      <c r="C54" s="3" t="str">
        <f>"/admin/state-machine/instances/" &amp; A54</f>
        <v>/admin/state-machine/instances/ssi-ind-i-conteh-earlynephritis-1</v>
      </c>
      <c r="D54" s="2" t="s">
        <v>1454</v>
      </c>
      <c r="E54" s="2" t="s">
        <v>73</v>
      </c>
      <c r="F54" s="2" t="s">
        <v>181</v>
      </c>
      <c r="G54" s="2" t="s">
        <v>1491</v>
      </c>
      <c r="H54" s="6">
        <v>45823</v>
      </c>
      <c r="I54" s="6">
        <v>45915</v>
      </c>
      <c r="J54" s="2">
        <v>1</v>
      </c>
      <c r="K54" s="2"/>
      <c r="L54" s="2" t="s">
        <v>1618</v>
      </c>
      <c r="M54" s="3" t="b">
        <f>ISBLANK(I54)</f>
        <v>0</v>
      </c>
      <c r="N54" s="3" t="b">
        <f>J54&gt;=1</f>
        <v>1</v>
      </c>
      <c r="O54" s="6">
        <v>46193</v>
      </c>
      <c r="P54" s="2" t="s">
        <v>1457</v>
      </c>
      <c r="Q54" s="6">
        <v>46193</v>
      </c>
      <c r="R54" s="2" t="s">
        <v>1457</v>
      </c>
      <c r="S54" s="2" t="s">
        <v>1458</v>
      </c>
      <c r="T54" s="2">
        <v>90</v>
      </c>
      <c r="U54" s="3" t="b">
        <f>IF(T54&gt;=90,TRUE(),FALSE())</f>
        <v>1</v>
      </c>
    </row>
    <row r="55">
      <c r="A55" s="2" t="s">
        <v>1709</v>
      </c>
      <c r="B55" s="3" t="str">
        <f>A55</f>
        <v>ssi-ind-i-conteh-renalflarerisk-2</v>
      </c>
      <c r="C55" s="3" t="str">
        <f>"/admin/state-machine/instances/" &amp; A55</f>
        <v>/admin/state-machine/instances/ssi-ind-i-conteh-renalflarerisk-2</v>
      </c>
      <c r="D55" s="2" t="s">
        <v>1454</v>
      </c>
      <c r="E55" s="2" t="s">
        <v>73</v>
      </c>
      <c r="F55" s="2" t="s">
        <v>181</v>
      </c>
      <c r="G55" s="2" t="s">
        <v>1494</v>
      </c>
      <c r="H55" s="6">
        <v>45915</v>
      </c>
      <c r="I55" s="6"/>
      <c r="J55" s="2">
        <v>2</v>
      </c>
      <c r="K55" s="2" t="s">
        <v>1708</v>
      </c>
      <c r="L55" s="2" t="s">
        <v>1619</v>
      </c>
      <c r="M55" s="3" t="b">
        <f>ISBLANK(I55)</f>
        <v>1</v>
      </c>
      <c r="N55" s="3" t="b">
        <f>J55&gt;=1</f>
        <v>1</v>
      </c>
      <c r="O55" s="6">
        <v>46193</v>
      </c>
      <c r="P55" s="2" t="s">
        <v>1457</v>
      </c>
      <c r="Q55" s="6">
        <v>46193</v>
      </c>
      <c r="R55" s="2" t="s">
        <v>1457</v>
      </c>
      <c r="S55" s="2" t="s">
        <v>1458</v>
      </c>
      <c r="T55" s="2">
        <v>120</v>
      </c>
      <c r="U55" s="3" t="b">
        <f>IF(T55&gt;=90,TRUE(),FALSE())</f>
        <v>1</v>
      </c>
    </row>
    <row r="56">
      <c r="A56" s="2" t="s">
        <v>1710</v>
      </c>
      <c r="B56" s="3" t="str">
        <f>A56</f>
        <v>ssi-pred-i-intake-1</v>
      </c>
      <c r="C56" s="3" t="str">
        <f>"/admin/state-machine/instances/" &amp; A56</f>
        <v>/admin/state-machine/instances/ssi-pred-i-intake-1</v>
      </c>
      <c r="D56" s="2" t="s">
        <v>1451</v>
      </c>
      <c r="E56" s="2" t="s">
        <v>10</v>
      </c>
      <c r="F56" s="2" t="s">
        <v>643</v>
      </c>
      <c r="G56" s="2" t="s">
        <v>1274</v>
      </c>
      <c r="H56" s="6">
        <v>46175.375</v>
      </c>
      <c r="I56" s="6">
        <v>46176.375</v>
      </c>
      <c r="J56" s="2">
        <v>1</v>
      </c>
      <c r="K56" s="2"/>
      <c r="L56" s="2" t="s">
        <v>1620</v>
      </c>
      <c r="M56" s="3" t="b">
        <f>ISBLANK(I56)</f>
        <v>0</v>
      </c>
      <c r="N56" s="3" t="b">
        <f>J56&gt;=1</f>
        <v>1</v>
      </c>
      <c r="O56" s="6">
        <v>46193</v>
      </c>
      <c r="P56" s="2" t="s">
        <v>1607</v>
      </c>
      <c r="Q56" s="6">
        <v>46193</v>
      </c>
      <c r="R56" s="2" t="s">
        <v>1607</v>
      </c>
      <c r="S56" s="2" t="s">
        <v>1458</v>
      </c>
      <c r="T56" s="2">
        <v>1</v>
      </c>
      <c r="U56" s="3" t="b">
        <f>IF(T56&gt;=90,TRUE(),FALSE())</f>
        <v>0</v>
      </c>
    </row>
    <row r="57">
      <c r="A57" s="2" t="s">
        <v>1711</v>
      </c>
      <c r="B57" s="3" t="str">
        <f>A57</f>
        <v>ssi-pred-i-evidenceassessed-2</v>
      </c>
      <c r="C57" s="3" t="str">
        <f>"/admin/state-machine/instances/" &amp; A57</f>
        <v>/admin/state-machine/instances/ssi-pred-i-evidenceassessed-2</v>
      </c>
      <c r="D57" s="2" t="s">
        <v>1451</v>
      </c>
      <c r="E57" s="2" t="s">
        <v>10</v>
      </c>
      <c r="F57" s="2" t="s">
        <v>643</v>
      </c>
      <c r="G57" s="2" t="s">
        <v>1470</v>
      </c>
      <c r="H57" s="6">
        <v>46176.375</v>
      </c>
      <c r="I57" s="6">
        <v>46177.375</v>
      </c>
      <c r="J57" s="2">
        <v>2</v>
      </c>
      <c r="K57" s="2" t="s">
        <v>1710</v>
      </c>
      <c r="L57" s="2" t="s">
        <v>1621</v>
      </c>
      <c r="M57" s="3" t="b">
        <f>ISBLANK(I57)</f>
        <v>0</v>
      </c>
      <c r="N57" s="3" t="b">
        <f>J57&gt;=1</f>
        <v>1</v>
      </c>
      <c r="O57" s="6">
        <v>46193</v>
      </c>
      <c r="P57" s="2" t="s">
        <v>1607</v>
      </c>
      <c r="Q57" s="6">
        <v>46193</v>
      </c>
      <c r="R57" s="2" t="s">
        <v>1607</v>
      </c>
      <c r="S57" s="2" t="s">
        <v>1458</v>
      </c>
      <c r="T57" s="2">
        <v>1</v>
      </c>
      <c r="U57" s="3" t="b">
        <f>IF(T57&gt;=90,TRUE(),FALSE())</f>
        <v>0</v>
      </c>
    </row>
    <row r="58">
      <c r="A58" s="2" t="s">
        <v>1712</v>
      </c>
      <c r="B58" s="3" t="str">
        <f>A58</f>
        <v>ssi-pred-i-mechanismconfirmed-3</v>
      </c>
      <c r="C58" s="3" t="str">
        <f>"/admin/state-machine/instances/" &amp; A58</f>
        <v>/admin/state-machine/instances/ssi-pred-i-mechanismconfirmed-3</v>
      </c>
      <c r="D58" s="2" t="s">
        <v>1451</v>
      </c>
      <c r="E58" s="2" t="s">
        <v>10</v>
      </c>
      <c r="F58" s="2" t="s">
        <v>643</v>
      </c>
      <c r="G58" s="2" t="s">
        <v>1472</v>
      </c>
      <c r="H58" s="6">
        <v>46177.375</v>
      </c>
      <c r="I58" s="6">
        <v>46178.375</v>
      </c>
      <c r="J58" s="2">
        <v>3</v>
      </c>
      <c r="K58" s="2" t="s">
        <v>1711</v>
      </c>
      <c r="L58" s="2" t="s">
        <v>1622</v>
      </c>
      <c r="M58" s="3" t="b">
        <f>ISBLANK(I58)</f>
        <v>0</v>
      </c>
      <c r="N58" s="3" t="b">
        <f>J58&gt;=1</f>
        <v>1</v>
      </c>
      <c r="O58" s="6">
        <v>46193</v>
      </c>
      <c r="P58" s="2" t="s">
        <v>1607</v>
      </c>
      <c r="Q58" s="6">
        <v>46193</v>
      </c>
      <c r="R58" s="2" t="s">
        <v>1607</v>
      </c>
      <c r="S58" s="2" t="s">
        <v>1458</v>
      </c>
      <c r="T58" s="2">
        <v>1</v>
      </c>
      <c r="U58" s="3" t="b">
        <f>IF(T58&gt;=90,TRUE(),FALSE())</f>
        <v>0</v>
      </c>
    </row>
    <row r="59">
      <c r="A59" s="2" t="s">
        <v>1713</v>
      </c>
      <c r="B59" s="3" t="str">
        <f>A59</f>
        <v>ssi-pred-i-notactionable-4</v>
      </c>
      <c r="C59" s="3" t="str">
        <f>"/admin/state-machine/instances/" &amp; A59</f>
        <v>/admin/state-machine/instances/ssi-pred-i-notactionable-4</v>
      </c>
      <c r="D59" s="2" t="s">
        <v>1451</v>
      </c>
      <c r="E59" s="2" t="s">
        <v>10</v>
      </c>
      <c r="F59" s="2" t="s">
        <v>643</v>
      </c>
      <c r="G59" s="2" t="s">
        <v>1480</v>
      </c>
      <c r="H59" s="6">
        <v>46178.375</v>
      </c>
      <c r="I59" s="6"/>
      <c r="J59" s="2">
        <v>4</v>
      </c>
      <c r="K59" s="2" t="s">
        <v>1712</v>
      </c>
      <c r="L59" s="2" t="s">
        <v>1623</v>
      </c>
      <c r="M59" s="3" t="b">
        <f>ISBLANK(I59)</f>
        <v>1</v>
      </c>
      <c r="N59" s="3" t="b">
        <f>J59&gt;=1</f>
        <v>1</v>
      </c>
      <c r="O59" s="6">
        <v>46193</v>
      </c>
      <c r="P59" s="2" t="s">
        <v>1607</v>
      </c>
      <c r="Q59" s="6">
        <v>46193</v>
      </c>
      <c r="R59" s="2" t="s">
        <v>1607</v>
      </c>
      <c r="S59" s="2" t="s">
        <v>1458</v>
      </c>
      <c r="T59" s="2">
        <v>1</v>
      </c>
      <c r="U59" s="3" t="b">
        <f>IF(T59&gt;=90,TRUE(),FALSE())</f>
        <v>0</v>
      </c>
    </row>
    <row r="60">
      <c r="A60" s="2" t="s">
        <v>1714</v>
      </c>
      <c r="B60" s="3" t="str">
        <f>A60</f>
        <v>ssi-ind-j-brooks-presymptomaticautoimmunity-1</v>
      </c>
      <c r="C60" s="3" t="str">
        <f>"/admin/state-machine/instances/" &amp; A60</f>
        <v>/admin/state-machine/instances/ssi-ind-j-brooks-presymptomaticautoimmunity-1</v>
      </c>
      <c r="D60" s="2" t="s">
        <v>1454</v>
      </c>
      <c r="E60" s="2" t="s">
        <v>73</v>
      </c>
      <c r="F60" s="2" t="s">
        <v>185</v>
      </c>
      <c r="G60" s="2" t="s">
        <v>1485</v>
      </c>
      <c r="H60" s="6">
        <v>45870</v>
      </c>
      <c r="I60" s="6">
        <v>45962</v>
      </c>
      <c r="J60" s="2">
        <v>1</v>
      </c>
      <c r="K60" s="2"/>
      <c r="L60" s="2" t="s">
        <v>1625</v>
      </c>
      <c r="M60" s="3" t="b">
        <f>ISBLANK(I60)</f>
        <v>0</v>
      </c>
      <c r="N60" s="3" t="b">
        <f>J60&gt;=1</f>
        <v>1</v>
      </c>
      <c r="O60" s="6">
        <v>46193</v>
      </c>
      <c r="P60" s="2" t="s">
        <v>1607</v>
      </c>
      <c r="Q60" s="6">
        <v>46193</v>
      </c>
      <c r="R60" s="2" t="s">
        <v>1607</v>
      </c>
      <c r="S60" s="2" t="s">
        <v>1458</v>
      </c>
      <c r="T60" s="2">
        <v>90</v>
      </c>
      <c r="U60" s="3" t="b">
        <f>IF(T60&gt;=90,TRUE(),FALSE())</f>
        <v>1</v>
      </c>
    </row>
    <row r="61">
      <c r="A61" s="2" t="s">
        <v>1715</v>
      </c>
      <c r="B61" s="3" t="str">
        <f>A61</f>
        <v>ssi-ind-j-brooks-serologicactive-2</v>
      </c>
      <c r="C61" s="3" t="str">
        <f>"/admin/state-machine/instances/" &amp; A61</f>
        <v>/admin/state-machine/instances/ssi-ind-j-brooks-serologicactive-2</v>
      </c>
      <c r="D61" s="2" t="s">
        <v>1454</v>
      </c>
      <c r="E61" s="2" t="s">
        <v>73</v>
      </c>
      <c r="F61" s="2" t="s">
        <v>185</v>
      </c>
      <c r="G61" s="2" t="s">
        <v>1488</v>
      </c>
      <c r="H61" s="6">
        <v>45962</v>
      </c>
      <c r="I61" s="6"/>
      <c r="J61" s="2">
        <v>2</v>
      </c>
      <c r="K61" s="2" t="s">
        <v>1714</v>
      </c>
      <c r="L61" s="2" t="s">
        <v>1626</v>
      </c>
      <c r="M61" s="3" t="b">
        <f>ISBLANK(I61)</f>
        <v>1</v>
      </c>
      <c r="N61" s="3" t="b">
        <f>J61&gt;=1</f>
        <v>1</v>
      </c>
      <c r="O61" s="6">
        <v>46193</v>
      </c>
      <c r="P61" s="2" t="s">
        <v>1607</v>
      </c>
      <c r="Q61" s="6">
        <v>46193</v>
      </c>
      <c r="R61" s="2" t="s">
        <v>1607</v>
      </c>
      <c r="S61" s="2" t="s">
        <v>1458</v>
      </c>
      <c r="T61" s="2">
        <v>120</v>
      </c>
      <c r="U61" s="3" t="b">
        <f>IF(T61&gt;=90,TRUE(),FALSE())</f>
        <v>1</v>
      </c>
    </row>
    <row r="62">
      <c r="A62" s="2" t="s">
        <v>1716</v>
      </c>
      <c r="B62" s="3" t="str">
        <f>A62</f>
        <v>ssi-pred-j-intake-1</v>
      </c>
      <c r="C62" s="3" t="str">
        <f>"/admin/state-machine/instances/" &amp; A62</f>
        <v>/admin/state-machine/instances/ssi-pred-j-intake-1</v>
      </c>
      <c r="D62" s="2" t="s">
        <v>1451</v>
      </c>
      <c r="E62" s="2" t="s">
        <v>10</v>
      </c>
      <c r="F62" s="2" t="s">
        <v>644</v>
      </c>
      <c r="G62" s="2" t="s">
        <v>1274</v>
      </c>
      <c r="H62" s="6">
        <v>46175.375</v>
      </c>
      <c r="I62" s="6">
        <v>46176.375</v>
      </c>
      <c r="J62" s="2">
        <v>1</v>
      </c>
      <c r="K62" s="2"/>
      <c r="L62" s="2" t="s">
        <v>1627</v>
      </c>
      <c r="M62" s="3" t="b">
        <f>ISBLANK(I62)</f>
        <v>0</v>
      </c>
      <c r="N62" s="3" t="b">
        <f>J62&gt;=1</f>
        <v>1</v>
      </c>
      <c r="O62" s="6">
        <v>46193</v>
      </c>
      <c r="P62" s="2" t="s">
        <v>1607</v>
      </c>
      <c r="Q62" s="6">
        <v>46193</v>
      </c>
      <c r="R62" s="2" t="s">
        <v>1607</v>
      </c>
      <c r="S62" s="2" t="s">
        <v>1458</v>
      </c>
      <c r="T62" s="2">
        <v>1</v>
      </c>
      <c r="U62" s="3" t="b">
        <f>IF(T62&gt;=90,TRUE(),FALSE())</f>
        <v>0</v>
      </c>
    </row>
    <row r="63">
      <c r="A63" s="2" t="s">
        <v>1717</v>
      </c>
      <c r="B63" s="3" t="str">
        <f>A63</f>
        <v>ssi-pred-j-evidenceassessed-2</v>
      </c>
      <c r="C63" s="3" t="str">
        <f>"/admin/state-machine/instances/" &amp; A63</f>
        <v>/admin/state-machine/instances/ssi-pred-j-evidenceassessed-2</v>
      </c>
      <c r="D63" s="2" t="s">
        <v>1451</v>
      </c>
      <c r="E63" s="2" t="s">
        <v>10</v>
      </c>
      <c r="F63" s="2" t="s">
        <v>644</v>
      </c>
      <c r="G63" s="2" t="s">
        <v>1470</v>
      </c>
      <c r="H63" s="6">
        <v>46176.375</v>
      </c>
      <c r="I63" s="6">
        <v>46177.375</v>
      </c>
      <c r="J63" s="2">
        <v>2</v>
      </c>
      <c r="K63" s="2" t="s">
        <v>1716</v>
      </c>
      <c r="L63" s="2" t="s">
        <v>1628</v>
      </c>
      <c r="M63" s="3" t="b">
        <f>ISBLANK(I63)</f>
        <v>0</v>
      </c>
      <c r="N63" s="3" t="b">
        <f>J63&gt;=1</f>
        <v>1</v>
      </c>
      <c r="O63" s="6">
        <v>46193</v>
      </c>
      <c r="P63" s="2" t="s">
        <v>1607</v>
      </c>
      <c r="Q63" s="6">
        <v>46193</v>
      </c>
      <c r="R63" s="2" t="s">
        <v>1607</v>
      </c>
      <c r="S63" s="2" t="s">
        <v>1458</v>
      </c>
      <c r="T63" s="2">
        <v>1</v>
      </c>
      <c r="U63" s="3" t="b">
        <f>IF(T63&gt;=90,TRUE(),FALSE())</f>
        <v>0</v>
      </c>
    </row>
    <row r="64">
      <c r="A64" s="2" t="s">
        <v>1718</v>
      </c>
      <c r="B64" s="3" t="str">
        <f>A64</f>
        <v>ssi-pred-j-mechanismconfirmed-3</v>
      </c>
      <c r="C64" s="3" t="str">
        <f>"/admin/state-machine/instances/" &amp; A64</f>
        <v>/admin/state-machine/instances/ssi-pred-j-mechanismconfirmed-3</v>
      </c>
      <c r="D64" s="2" t="s">
        <v>1451</v>
      </c>
      <c r="E64" s="2" t="s">
        <v>10</v>
      </c>
      <c r="F64" s="2" t="s">
        <v>644</v>
      </c>
      <c r="G64" s="2" t="s">
        <v>1472</v>
      </c>
      <c r="H64" s="6">
        <v>46177.375</v>
      </c>
      <c r="I64" s="6">
        <v>46178.375</v>
      </c>
      <c r="J64" s="2">
        <v>3</v>
      </c>
      <c r="K64" s="2" t="s">
        <v>1717</v>
      </c>
      <c r="L64" s="2" t="s">
        <v>1629</v>
      </c>
      <c r="M64" s="3" t="b">
        <f>ISBLANK(I64)</f>
        <v>0</v>
      </c>
      <c r="N64" s="3" t="b">
        <f>J64&gt;=1</f>
        <v>1</v>
      </c>
      <c r="O64" s="6">
        <v>46193</v>
      </c>
      <c r="P64" s="2" t="s">
        <v>1607</v>
      </c>
      <c r="Q64" s="6">
        <v>46193</v>
      </c>
      <c r="R64" s="2" t="s">
        <v>1607</v>
      </c>
      <c r="S64" s="2" t="s">
        <v>1458</v>
      </c>
      <c r="T64" s="2">
        <v>1</v>
      </c>
      <c r="U64" s="3" t="b">
        <f>IF(T64&gt;=90,TRUE(),FALSE())</f>
        <v>0</v>
      </c>
    </row>
    <row r="65">
      <c r="A65" s="2" t="s">
        <v>1719</v>
      </c>
      <c r="B65" s="3" t="str">
        <f>A65</f>
        <v>ssi-pred-j-calibrationchecked-4</v>
      </c>
      <c r="C65" s="3" t="str">
        <f>"/admin/state-machine/instances/" &amp; A65</f>
        <v>/admin/state-machine/instances/ssi-pred-j-calibrationchecked-4</v>
      </c>
      <c r="D65" s="2" t="s">
        <v>1451</v>
      </c>
      <c r="E65" s="2" t="s">
        <v>10</v>
      </c>
      <c r="F65" s="2" t="s">
        <v>644</v>
      </c>
      <c r="G65" s="2" t="s">
        <v>1474</v>
      </c>
      <c r="H65" s="6">
        <v>46178.375</v>
      </c>
      <c r="I65" s="6">
        <v>46179.375</v>
      </c>
      <c r="J65" s="2">
        <v>4</v>
      </c>
      <c r="K65" s="2" t="s">
        <v>1718</v>
      </c>
      <c r="L65" s="2" t="s">
        <v>1630</v>
      </c>
      <c r="M65" s="3" t="b">
        <f>ISBLANK(I65)</f>
        <v>0</v>
      </c>
      <c r="N65" s="3" t="b">
        <f>J65&gt;=1</f>
        <v>1</v>
      </c>
      <c r="O65" s="6">
        <v>46193</v>
      </c>
      <c r="P65" s="2" t="s">
        <v>1607</v>
      </c>
      <c r="Q65" s="6">
        <v>46193</v>
      </c>
      <c r="R65" s="2" t="s">
        <v>1607</v>
      </c>
      <c r="S65" s="2" t="s">
        <v>1458</v>
      </c>
      <c r="T65" s="2">
        <v>1</v>
      </c>
      <c r="U65" s="3" t="b">
        <f>IF(T65&gt;=90,TRUE(),FALSE())</f>
        <v>0</v>
      </c>
    </row>
    <row r="66">
      <c r="A66" s="2" t="s">
        <v>1720</v>
      </c>
      <c r="B66" s="3" t="str">
        <f>A66</f>
        <v>ssi-pred-j-notactionable-5</v>
      </c>
      <c r="C66" s="3" t="str">
        <f>"/admin/state-machine/instances/" &amp; A66</f>
        <v>/admin/state-machine/instances/ssi-pred-j-notactionable-5</v>
      </c>
      <c r="D66" s="2" t="s">
        <v>1451</v>
      </c>
      <c r="E66" s="2" t="s">
        <v>10</v>
      </c>
      <c r="F66" s="2" t="s">
        <v>644</v>
      </c>
      <c r="G66" s="2" t="s">
        <v>1480</v>
      </c>
      <c r="H66" s="6">
        <v>46179.375</v>
      </c>
      <c r="I66" s="6"/>
      <c r="J66" s="2">
        <v>5</v>
      </c>
      <c r="K66" s="2" t="s">
        <v>1719</v>
      </c>
      <c r="L66" s="2" t="s">
        <v>1631</v>
      </c>
      <c r="M66" s="3" t="b">
        <f>ISBLANK(I66)</f>
        <v>1</v>
      </c>
      <c r="N66" s="3" t="b">
        <f>J66&gt;=1</f>
        <v>1</v>
      </c>
      <c r="O66" s="6">
        <v>46193</v>
      </c>
      <c r="P66" s="2" t="s">
        <v>1607</v>
      </c>
      <c r="Q66" s="6">
        <v>46193</v>
      </c>
      <c r="R66" s="2" t="s">
        <v>1607</v>
      </c>
      <c r="S66" s="2" t="s">
        <v>1458</v>
      </c>
      <c r="T66" s="2">
        <v>1</v>
      </c>
      <c r="U66" s="3" t="b">
        <f>IF(T66&gt;=90,TRUE(),FALSE())</f>
        <v>0</v>
      </c>
    </row>
    <row r="67">
      <c r="A67" s="2" t="s">
        <v>1721</v>
      </c>
      <c r="B67" s="3" t="str">
        <f>A67</f>
        <v>ssi-ind-k-nair-presymptomaticautoimmunity-1</v>
      </c>
      <c r="C67" s="3" t="str">
        <f>"/admin/state-machine/instances/" &amp; A67</f>
        <v>/admin/state-machine/instances/ssi-ind-k-nair-presymptomaticautoimmunity-1</v>
      </c>
      <c r="D67" s="2" t="s">
        <v>1454</v>
      </c>
      <c r="E67" s="2" t="s">
        <v>73</v>
      </c>
      <c r="F67" s="2" t="s">
        <v>190</v>
      </c>
      <c r="G67" s="2" t="s">
        <v>1485</v>
      </c>
      <c r="H67" s="6">
        <v>45843</v>
      </c>
      <c r="I67" s="6"/>
      <c r="J67" s="2">
        <v>1</v>
      </c>
      <c r="K67" s="2"/>
      <c r="L67" s="2" t="s">
        <v>1632</v>
      </c>
      <c r="M67" s="3" t="b">
        <f>ISBLANK(I67)</f>
        <v>1</v>
      </c>
      <c r="N67" s="3" t="b">
        <f>J67&gt;=1</f>
        <v>1</v>
      </c>
      <c r="O67" s="6">
        <v>46193</v>
      </c>
      <c r="P67" s="2" t="s">
        <v>1607</v>
      </c>
      <c r="Q67" s="6">
        <v>46193</v>
      </c>
      <c r="R67" s="2" t="s">
        <v>1607</v>
      </c>
      <c r="S67" s="2" t="s">
        <v>1458</v>
      </c>
      <c r="T67" s="2">
        <v>120</v>
      </c>
      <c r="U67" s="3" t="b">
        <f>IF(T67&gt;=90,TRUE(),FALSE())</f>
        <v>1</v>
      </c>
    </row>
    <row r="68">
      <c r="A68" s="2" t="s">
        <v>1722</v>
      </c>
      <c r="B68" s="3" t="str">
        <f>A68</f>
        <v>ssi-pred-k-intake-1</v>
      </c>
      <c r="C68" s="3" t="str">
        <f>"/admin/state-machine/instances/" &amp; A68</f>
        <v>/admin/state-machine/instances/ssi-pred-k-intake-1</v>
      </c>
      <c r="D68" s="2" t="s">
        <v>1451</v>
      </c>
      <c r="E68" s="2" t="s">
        <v>10</v>
      </c>
      <c r="F68" s="2" t="s">
        <v>645</v>
      </c>
      <c r="G68" s="2" t="s">
        <v>1274</v>
      </c>
      <c r="H68" s="6">
        <v>46175.375</v>
      </c>
      <c r="I68" s="6">
        <v>46176.375</v>
      </c>
      <c r="J68" s="2">
        <v>1</v>
      </c>
      <c r="K68" s="2"/>
      <c r="L68" s="2" t="s">
        <v>1633</v>
      </c>
      <c r="M68" s="3" t="b">
        <f>ISBLANK(I68)</f>
        <v>0</v>
      </c>
      <c r="N68" s="3" t="b">
        <f>J68&gt;=1</f>
        <v>1</v>
      </c>
      <c r="O68" s="6">
        <v>46193</v>
      </c>
      <c r="P68" s="2" t="s">
        <v>1607</v>
      </c>
      <c r="Q68" s="6">
        <v>46193</v>
      </c>
      <c r="R68" s="2" t="s">
        <v>1607</v>
      </c>
      <c r="S68" s="2" t="s">
        <v>1458</v>
      </c>
      <c r="T68" s="2">
        <v>1</v>
      </c>
      <c r="U68" s="3" t="b">
        <f>IF(T68&gt;=90,TRUE(),FALSE())</f>
        <v>0</v>
      </c>
    </row>
    <row r="69">
      <c r="A69" s="2" t="s">
        <v>1723</v>
      </c>
      <c r="B69" s="3" t="str">
        <f>A69</f>
        <v>ssi-pred-k-evidenceassessed-2</v>
      </c>
      <c r="C69" s="3" t="str">
        <f>"/admin/state-machine/instances/" &amp; A69</f>
        <v>/admin/state-machine/instances/ssi-pred-k-evidenceassessed-2</v>
      </c>
      <c r="D69" s="2" t="s">
        <v>1451</v>
      </c>
      <c r="E69" s="2" t="s">
        <v>10</v>
      </c>
      <c r="F69" s="2" t="s">
        <v>645</v>
      </c>
      <c r="G69" s="2" t="s">
        <v>1470</v>
      </c>
      <c r="H69" s="6">
        <v>46176.375</v>
      </c>
      <c r="I69" s="6">
        <v>46177.375</v>
      </c>
      <c r="J69" s="2">
        <v>2</v>
      </c>
      <c r="K69" s="2" t="s">
        <v>1722</v>
      </c>
      <c r="L69" s="2" t="s">
        <v>1634</v>
      </c>
      <c r="M69" s="3" t="b">
        <f>ISBLANK(I69)</f>
        <v>0</v>
      </c>
      <c r="N69" s="3" t="b">
        <f>J69&gt;=1</f>
        <v>1</v>
      </c>
      <c r="O69" s="6">
        <v>46193</v>
      </c>
      <c r="P69" s="2" t="s">
        <v>1607</v>
      </c>
      <c r="Q69" s="6">
        <v>46193</v>
      </c>
      <c r="R69" s="2" t="s">
        <v>1607</v>
      </c>
      <c r="S69" s="2" t="s">
        <v>1458</v>
      </c>
      <c r="T69" s="2">
        <v>1</v>
      </c>
      <c r="U69" s="3" t="b">
        <f>IF(T69&gt;=90,TRUE(),FALSE())</f>
        <v>0</v>
      </c>
    </row>
    <row r="70">
      <c r="A70" s="2" t="s">
        <v>1724</v>
      </c>
      <c r="B70" s="3" t="str">
        <f>A70</f>
        <v>ssi-pred-k-mechanismconfirmed-3</v>
      </c>
      <c r="C70" s="3" t="str">
        <f>"/admin/state-machine/instances/" &amp; A70</f>
        <v>/admin/state-machine/instances/ssi-pred-k-mechanismconfirmed-3</v>
      </c>
      <c r="D70" s="2" t="s">
        <v>1451</v>
      </c>
      <c r="E70" s="2" t="s">
        <v>10</v>
      </c>
      <c r="F70" s="2" t="s">
        <v>645</v>
      </c>
      <c r="G70" s="2" t="s">
        <v>1472</v>
      </c>
      <c r="H70" s="6">
        <v>46177.375</v>
      </c>
      <c r="I70" s="6">
        <v>46178.375</v>
      </c>
      <c r="J70" s="2">
        <v>3</v>
      </c>
      <c r="K70" s="2" t="s">
        <v>1723</v>
      </c>
      <c r="L70" s="2" t="s">
        <v>1635</v>
      </c>
      <c r="M70" s="3" t="b">
        <f>ISBLANK(I70)</f>
        <v>0</v>
      </c>
      <c r="N70" s="3" t="b">
        <f>J70&gt;=1</f>
        <v>1</v>
      </c>
      <c r="O70" s="6">
        <v>46193</v>
      </c>
      <c r="P70" s="2" t="s">
        <v>1607</v>
      </c>
      <c r="Q70" s="6">
        <v>46193</v>
      </c>
      <c r="R70" s="2" t="s">
        <v>1607</v>
      </c>
      <c r="S70" s="2" t="s">
        <v>1458</v>
      </c>
      <c r="T70" s="2">
        <v>1</v>
      </c>
      <c r="U70" s="3" t="b">
        <f>IF(T70&gt;=90,TRUE(),FALSE())</f>
        <v>0</v>
      </c>
    </row>
    <row r="71">
      <c r="A71" s="2" t="s">
        <v>1725</v>
      </c>
      <c r="B71" s="3" t="str">
        <f>A71</f>
        <v>ssi-pred-k-calibrationchecked-4</v>
      </c>
      <c r="C71" s="3" t="str">
        <f>"/admin/state-machine/instances/" &amp; A71</f>
        <v>/admin/state-machine/instances/ssi-pred-k-calibrationchecked-4</v>
      </c>
      <c r="D71" s="2" t="s">
        <v>1451</v>
      </c>
      <c r="E71" s="2" t="s">
        <v>10</v>
      </c>
      <c r="F71" s="2" t="s">
        <v>645</v>
      </c>
      <c r="G71" s="2" t="s">
        <v>1474</v>
      </c>
      <c r="H71" s="6">
        <v>46178.375</v>
      </c>
      <c r="I71" s="6">
        <v>46179.375</v>
      </c>
      <c r="J71" s="2">
        <v>4</v>
      </c>
      <c r="K71" s="2" t="s">
        <v>1724</v>
      </c>
      <c r="L71" s="2" t="s">
        <v>1636</v>
      </c>
      <c r="M71" s="3" t="b">
        <f>ISBLANK(I71)</f>
        <v>0</v>
      </c>
      <c r="N71" s="3" t="b">
        <f>J71&gt;=1</f>
        <v>1</v>
      </c>
      <c r="O71" s="6">
        <v>46193</v>
      </c>
      <c r="P71" s="2" t="s">
        <v>1607</v>
      </c>
      <c r="Q71" s="6">
        <v>46193</v>
      </c>
      <c r="R71" s="2" t="s">
        <v>1607</v>
      </c>
      <c r="S71" s="2" t="s">
        <v>1458</v>
      </c>
      <c r="T71" s="2">
        <v>1</v>
      </c>
      <c r="U71" s="3" t="b">
        <f>IF(T71&gt;=90,TRUE(),FALSE())</f>
        <v>0</v>
      </c>
    </row>
    <row r="72">
      <c r="A72" s="2" t="s">
        <v>1726</v>
      </c>
      <c r="B72" s="3" t="str">
        <f>A72</f>
        <v>ssi-pred-k-transportchecked-5</v>
      </c>
      <c r="C72" s="3" t="str">
        <f>"/admin/state-machine/instances/" &amp; A72</f>
        <v>/admin/state-machine/instances/ssi-pred-k-transportchecked-5</v>
      </c>
      <c r="D72" s="2" t="s">
        <v>1451</v>
      </c>
      <c r="E72" s="2" t="s">
        <v>10</v>
      </c>
      <c r="F72" s="2" t="s">
        <v>645</v>
      </c>
      <c r="G72" s="2" t="s">
        <v>1476</v>
      </c>
      <c r="H72" s="6">
        <v>46179.375</v>
      </c>
      <c r="I72" s="6">
        <v>46180.375</v>
      </c>
      <c r="J72" s="2">
        <v>5</v>
      </c>
      <c r="K72" s="2" t="s">
        <v>1725</v>
      </c>
      <c r="L72" s="2" t="s">
        <v>1637</v>
      </c>
      <c r="M72" s="3" t="b">
        <f>ISBLANK(I72)</f>
        <v>0</v>
      </c>
      <c r="N72" s="3" t="b">
        <f>J72&gt;=1</f>
        <v>1</v>
      </c>
      <c r="O72" s="6">
        <v>46193</v>
      </c>
      <c r="P72" s="2" t="s">
        <v>1607</v>
      </c>
      <c r="Q72" s="6">
        <v>46193</v>
      </c>
      <c r="R72" s="2" t="s">
        <v>1607</v>
      </c>
      <c r="S72" s="2" t="s">
        <v>1458</v>
      </c>
      <c r="T72" s="2">
        <v>1</v>
      </c>
      <c r="U72" s="3" t="b">
        <f>IF(T72&gt;=90,TRUE(),FALSE())</f>
        <v>0</v>
      </c>
    </row>
    <row r="73">
      <c r="A73" s="2" t="s">
        <v>1727</v>
      </c>
      <c r="B73" s="3" t="str">
        <f>A73</f>
        <v>ssi-pred-k-notactionable-6</v>
      </c>
      <c r="C73" s="3" t="str">
        <f>"/admin/state-machine/instances/" &amp; A73</f>
        <v>/admin/state-machine/instances/ssi-pred-k-notactionable-6</v>
      </c>
      <c r="D73" s="2" t="s">
        <v>1451</v>
      </c>
      <c r="E73" s="2" t="s">
        <v>10</v>
      </c>
      <c r="F73" s="2" t="s">
        <v>645</v>
      </c>
      <c r="G73" s="2" t="s">
        <v>1480</v>
      </c>
      <c r="H73" s="6">
        <v>46180.375</v>
      </c>
      <c r="I73" s="6"/>
      <c r="J73" s="2">
        <v>6</v>
      </c>
      <c r="K73" s="2" t="s">
        <v>1726</v>
      </c>
      <c r="L73" s="2" t="s">
        <v>1638</v>
      </c>
      <c r="M73" s="3" t="b">
        <f>ISBLANK(I73)</f>
        <v>1</v>
      </c>
      <c r="N73" s="3" t="b">
        <f>J73&gt;=1</f>
        <v>1</v>
      </c>
      <c r="O73" s="6">
        <v>46193</v>
      </c>
      <c r="P73" s="2" t="s">
        <v>1607</v>
      </c>
      <c r="Q73" s="6">
        <v>46193</v>
      </c>
      <c r="R73" s="2" t="s">
        <v>1607</v>
      </c>
      <c r="S73" s="2" t="s">
        <v>1458</v>
      </c>
      <c r="T73" s="2">
        <v>1</v>
      </c>
      <c r="U73" s="3" t="b">
        <f>IF(T73&gt;=90,TRUE(),FALSE())</f>
        <v>0</v>
      </c>
    </row>
    <row r="74">
      <c r="A74" s="2" t="s">
        <v>1728</v>
      </c>
      <c r="B74" s="3" t="str">
        <f>A74</f>
        <v>ssi-ind-l-brandt-presymptomaticautoimmunity-1</v>
      </c>
      <c r="C74" s="3" t="str">
        <f>"/admin/state-machine/instances/" &amp; A74</f>
        <v>/admin/state-machine/instances/ssi-ind-l-brandt-presymptomaticautoimmunity-1</v>
      </c>
      <c r="D74" s="2" t="s">
        <v>1454</v>
      </c>
      <c r="E74" s="2" t="s">
        <v>73</v>
      </c>
      <c r="F74" s="2" t="s">
        <v>195</v>
      </c>
      <c r="G74" s="2" t="s">
        <v>1485</v>
      </c>
      <c r="H74" s="6">
        <v>45905</v>
      </c>
      <c r="I74" s="6"/>
      <c r="J74" s="2">
        <v>1</v>
      </c>
      <c r="K74" s="2"/>
      <c r="L74" s="2" t="s">
        <v>1639</v>
      </c>
      <c r="M74" s="3" t="b">
        <f>ISBLANK(I74)</f>
        <v>1</v>
      </c>
      <c r="N74" s="3" t="b">
        <f>J74&gt;=1</f>
        <v>1</v>
      </c>
      <c r="O74" s="6">
        <v>46193</v>
      </c>
      <c r="P74" s="2" t="s">
        <v>1607</v>
      </c>
      <c r="Q74" s="6">
        <v>46193</v>
      </c>
      <c r="R74" s="2" t="s">
        <v>1607</v>
      </c>
      <c r="S74" s="2" t="s">
        <v>1458</v>
      </c>
      <c r="T74" s="2">
        <v>120</v>
      </c>
      <c r="U74" s="3" t="b">
        <f>IF(T74&gt;=90,TRUE(),FALSE())</f>
        <v>1</v>
      </c>
    </row>
    <row r="75">
      <c r="A75" s="2" t="s">
        <v>1729</v>
      </c>
      <c r="B75" s="3" t="str">
        <f>A75</f>
        <v>ssi-pred-l-intake-1</v>
      </c>
      <c r="C75" s="3" t="str">
        <f>"/admin/state-machine/instances/" &amp; A75</f>
        <v>/admin/state-machine/instances/ssi-pred-l-intake-1</v>
      </c>
      <c r="D75" s="2" t="s">
        <v>1451</v>
      </c>
      <c r="E75" s="2" t="s">
        <v>10</v>
      </c>
      <c r="F75" s="2" t="s">
        <v>646</v>
      </c>
      <c r="G75" s="2" t="s">
        <v>1274</v>
      </c>
      <c r="H75" s="6">
        <v>46175.375</v>
      </c>
      <c r="I75" s="6">
        <v>46176.375</v>
      </c>
      <c r="J75" s="2">
        <v>1</v>
      </c>
      <c r="K75" s="2"/>
      <c r="L75" s="2" t="s">
        <v>1640</v>
      </c>
      <c r="M75" s="3" t="b">
        <f>ISBLANK(I75)</f>
        <v>0</v>
      </c>
      <c r="N75" s="3" t="b">
        <f>J75&gt;=1</f>
        <v>1</v>
      </c>
      <c r="O75" s="6">
        <v>46193</v>
      </c>
      <c r="P75" s="2" t="s">
        <v>1607</v>
      </c>
      <c r="Q75" s="6">
        <v>46193</v>
      </c>
      <c r="R75" s="2" t="s">
        <v>1607</v>
      </c>
      <c r="S75" s="2" t="s">
        <v>1458</v>
      </c>
      <c r="T75" s="2">
        <v>1</v>
      </c>
      <c r="U75" s="3" t="b">
        <f>IF(T75&gt;=90,TRUE(),FALSE())</f>
        <v>0</v>
      </c>
    </row>
    <row r="76">
      <c r="A76" s="2" t="s">
        <v>1730</v>
      </c>
      <c r="B76" s="3" t="str">
        <f>A76</f>
        <v>ssi-pred-l-evidenceassessed-2</v>
      </c>
      <c r="C76" s="3" t="str">
        <f>"/admin/state-machine/instances/" &amp; A76</f>
        <v>/admin/state-machine/instances/ssi-pred-l-evidenceassessed-2</v>
      </c>
      <c r="D76" s="2" t="s">
        <v>1451</v>
      </c>
      <c r="E76" s="2" t="s">
        <v>10</v>
      </c>
      <c r="F76" s="2" t="s">
        <v>646</v>
      </c>
      <c r="G76" s="2" t="s">
        <v>1470</v>
      </c>
      <c r="H76" s="6">
        <v>46176.375</v>
      </c>
      <c r="I76" s="6">
        <v>46177.375</v>
      </c>
      <c r="J76" s="2">
        <v>2</v>
      </c>
      <c r="K76" s="2" t="s">
        <v>1729</v>
      </c>
      <c r="L76" s="2" t="s">
        <v>1641</v>
      </c>
      <c r="M76" s="3" t="b">
        <f>ISBLANK(I76)</f>
        <v>0</v>
      </c>
      <c r="N76" s="3" t="b">
        <f>J76&gt;=1</f>
        <v>1</v>
      </c>
      <c r="O76" s="6">
        <v>46193</v>
      </c>
      <c r="P76" s="2" t="s">
        <v>1607</v>
      </c>
      <c r="Q76" s="6">
        <v>46193</v>
      </c>
      <c r="R76" s="2" t="s">
        <v>1607</v>
      </c>
      <c r="S76" s="2" t="s">
        <v>1458</v>
      </c>
      <c r="T76" s="2">
        <v>1</v>
      </c>
      <c r="U76" s="3" t="b">
        <f>IF(T76&gt;=90,TRUE(),FALSE())</f>
        <v>0</v>
      </c>
    </row>
    <row r="77">
      <c r="A77" s="2" t="s">
        <v>1731</v>
      </c>
      <c r="B77" s="3" t="str">
        <f>A77</f>
        <v>ssi-pred-l-mechanismconfirmed-3</v>
      </c>
      <c r="C77" s="3" t="str">
        <f>"/admin/state-machine/instances/" &amp; A77</f>
        <v>/admin/state-machine/instances/ssi-pred-l-mechanismconfirmed-3</v>
      </c>
      <c r="D77" s="2" t="s">
        <v>1451</v>
      </c>
      <c r="E77" s="2" t="s">
        <v>10</v>
      </c>
      <c r="F77" s="2" t="s">
        <v>646</v>
      </c>
      <c r="G77" s="2" t="s">
        <v>1472</v>
      </c>
      <c r="H77" s="6">
        <v>46177.375</v>
      </c>
      <c r="I77" s="6">
        <v>46178.375</v>
      </c>
      <c r="J77" s="2">
        <v>3</v>
      </c>
      <c r="K77" s="2" t="s">
        <v>1730</v>
      </c>
      <c r="L77" s="2" t="s">
        <v>1642</v>
      </c>
      <c r="M77" s="3" t="b">
        <f>ISBLANK(I77)</f>
        <v>0</v>
      </c>
      <c r="N77" s="3" t="b">
        <f>J77&gt;=1</f>
        <v>1</v>
      </c>
      <c r="O77" s="6">
        <v>46193</v>
      </c>
      <c r="P77" s="2" t="s">
        <v>1607</v>
      </c>
      <c r="Q77" s="6">
        <v>46193</v>
      </c>
      <c r="R77" s="2" t="s">
        <v>1607</v>
      </c>
      <c r="S77" s="2" t="s">
        <v>1458</v>
      </c>
      <c r="T77" s="2">
        <v>1</v>
      </c>
      <c r="U77" s="3" t="b">
        <f>IF(T77&gt;=90,TRUE(),FALSE())</f>
        <v>0</v>
      </c>
    </row>
    <row r="78">
      <c r="A78" s="2" t="s">
        <v>1732</v>
      </c>
      <c r="B78" s="3" t="str">
        <f>A78</f>
        <v>ssi-pred-l-calibrationchecked-4</v>
      </c>
      <c r="C78" s="3" t="str">
        <f>"/admin/state-machine/instances/" &amp; A78</f>
        <v>/admin/state-machine/instances/ssi-pred-l-calibrationchecked-4</v>
      </c>
      <c r="D78" s="2" t="s">
        <v>1451</v>
      </c>
      <c r="E78" s="2" t="s">
        <v>10</v>
      </c>
      <c r="F78" s="2" t="s">
        <v>646</v>
      </c>
      <c r="G78" s="2" t="s">
        <v>1474</v>
      </c>
      <c r="H78" s="6">
        <v>46178.375</v>
      </c>
      <c r="I78" s="6">
        <v>46179.375</v>
      </c>
      <c r="J78" s="2">
        <v>4</v>
      </c>
      <c r="K78" s="2" t="s">
        <v>1731</v>
      </c>
      <c r="L78" s="2" t="s">
        <v>1643</v>
      </c>
      <c r="M78" s="3" t="b">
        <f>ISBLANK(I78)</f>
        <v>0</v>
      </c>
      <c r="N78" s="3" t="b">
        <f>J78&gt;=1</f>
        <v>1</v>
      </c>
      <c r="O78" s="6">
        <v>46193</v>
      </c>
      <c r="P78" s="2" t="s">
        <v>1607</v>
      </c>
      <c r="Q78" s="6">
        <v>46193</v>
      </c>
      <c r="R78" s="2" t="s">
        <v>1607</v>
      </c>
      <c r="S78" s="2" t="s">
        <v>1458</v>
      </c>
      <c r="T78" s="2">
        <v>1</v>
      </c>
      <c r="U78" s="3" t="b">
        <f>IF(T78&gt;=90,TRUE(),FALSE())</f>
        <v>0</v>
      </c>
    </row>
    <row r="79">
      <c r="A79" s="2" t="s">
        <v>1733</v>
      </c>
      <c r="B79" s="3" t="str">
        <f>A79</f>
        <v>ssi-pred-l-transportchecked-5</v>
      </c>
      <c r="C79" s="3" t="str">
        <f>"/admin/state-machine/instances/" &amp; A79</f>
        <v>/admin/state-machine/instances/ssi-pred-l-transportchecked-5</v>
      </c>
      <c r="D79" s="2" t="s">
        <v>1451</v>
      </c>
      <c r="E79" s="2" t="s">
        <v>10</v>
      </c>
      <c r="F79" s="2" t="s">
        <v>646</v>
      </c>
      <c r="G79" s="2" t="s">
        <v>1476</v>
      </c>
      <c r="H79" s="6">
        <v>46179.375</v>
      </c>
      <c r="I79" s="6">
        <v>46180.375</v>
      </c>
      <c r="J79" s="2">
        <v>5</v>
      </c>
      <c r="K79" s="2" t="s">
        <v>1732</v>
      </c>
      <c r="L79" s="2" t="s">
        <v>1644</v>
      </c>
      <c r="M79" s="3" t="b">
        <f>ISBLANK(I79)</f>
        <v>0</v>
      </c>
      <c r="N79" s="3" t="b">
        <f>J79&gt;=1</f>
        <v>1</v>
      </c>
      <c r="O79" s="6">
        <v>46193</v>
      </c>
      <c r="P79" s="2" t="s">
        <v>1607</v>
      </c>
      <c r="Q79" s="6">
        <v>46193</v>
      </c>
      <c r="R79" s="2" t="s">
        <v>1607</v>
      </c>
      <c r="S79" s="2" t="s">
        <v>1458</v>
      </c>
      <c r="T79" s="2">
        <v>1</v>
      </c>
      <c r="U79" s="3" t="b">
        <f>IF(T79&gt;=90,TRUE(),FALSE())</f>
        <v>0</v>
      </c>
    </row>
    <row r="80">
      <c r="A80" s="2" t="s">
        <v>1734</v>
      </c>
      <c r="B80" s="3" t="str">
        <f>A80</f>
        <v>ssi-pred-l-actionable-6</v>
      </c>
      <c r="C80" s="3" t="str">
        <f>"/admin/state-machine/instances/" &amp; A80</f>
        <v>/admin/state-machine/instances/ssi-pred-l-actionable-6</v>
      </c>
      <c r="D80" s="2" t="s">
        <v>1451</v>
      </c>
      <c r="E80" s="2" t="s">
        <v>10</v>
      </c>
      <c r="F80" s="2" t="s">
        <v>646</v>
      </c>
      <c r="G80" s="2" t="s">
        <v>1478</v>
      </c>
      <c r="H80" s="6">
        <v>46180.375</v>
      </c>
      <c r="I80" s="6"/>
      <c r="J80" s="2">
        <v>6</v>
      </c>
      <c r="K80" s="2" t="s">
        <v>1733</v>
      </c>
      <c r="L80" s="2" t="s">
        <v>1645</v>
      </c>
      <c r="M80" s="3" t="b">
        <f>ISBLANK(I80)</f>
        <v>1</v>
      </c>
      <c r="N80" s="3" t="b">
        <f>J80&gt;=1</f>
        <v>1</v>
      </c>
      <c r="O80" s="6">
        <v>46193</v>
      </c>
      <c r="P80" s="2" t="s">
        <v>1607</v>
      </c>
      <c r="Q80" s="6">
        <v>46193</v>
      </c>
      <c r="R80" s="2" t="s">
        <v>1607</v>
      </c>
      <c r="S80" s="2" t="s">
        <v>1458</v>
      </c>
      <c r="T80" s="2">
        <v>1</v>
      </c>
      <c r="U80" s="3" t="b">
        <f>IF(T80&gt;=90,TRUE(),FALSE())</f>
        <v>0</v>
      </c>
    </row>
  </sheetData>
  <autoFilter ref="A1:U1"/>
  <headerFooter/>
  <legacyDrawing r:id="rId1"/>
</worksheet>
</file>

<file path=xl/worksheets/sheet3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19"/>
  <sheetViews>
    <sheetView workbookViewId="0">
      <pane ySplit="1" topLeftCell="A2" state="frozen" activePane="bottomLeft"/>
      <selection pane="bottomLeft" activeCell="A1" sqref="A1"/>
    </sheetView>
  </sheetViews>
  <sheetFormatPr defaultRowHeight="15"/>
  <sheetData>
    <row r="1">
      <c r="A1" s="1" t="s">
        <v>1735</v>
      </c>
      <c r="B1" s="1" t="s">
        <v>747</v>
      </c>
      <c r="C1" s="1" t="s">
        <v>1736</v>
      </c>
      <c r="D1" s="1" t="s">
        <v>1737</v>
      </c>
      <c r="E1" s="1" t="s">
        <v>845</v>
      </c>
      <c r="F1" s="1" t="s">
        <v>1738</v>
      </c>
      <c r="G1" s="1" t="s">
        <v>3</v>
      </c>
      <c r="H1" s="1" t="s">
        <v>4</v>
      </c>
    </row>
    <row r="2">
      <c r="A2" s="2" t="s">
        <v>1739</v>
      </c>
      <c r="B2" s="2" t="s">
        <v>1740</v>
      </c>
      <c r="C2" s="2" t="s">
        <v>1741</v>
      </c>
      <c r="D2" s="2" t="s">
        <v>1742</v>
      </c>
      <c r="E2" s="2" t="s">
        <v>1743</v>
      </c>
      <c r="F2" s="2" t="s">
        <v>1744</v>
      </c>
      <c r="G2" s="3" t="str">
        <f>A2</f>
        <v>report.engine</v>
      </c>
      <c r="H2" s="3" t="str">
        <f>"/admin/meta/" &amp; A2</f>
        <v>/admin/meta/report.engine</v>
      </c>
    </row>
    <row r="3">
      <c r="A3" s="2" t="s">
        <v>1745</v>
      </c>
      <c r="B3" s="2" t="s">
        <v>1740</v>
      </c>
      <c r="C3" s="2" t="s">
        <v>1746</v>
      </c>
      <c r="D3" s="2" t="s">
        <v>1742</v>
      </c>
      <c r="E3" s="2" t="s">
        <v>1747</v>
      </c>
      <c r="F3" s="2" t="s">
        <v>1744</v>
      </c>
      <c r="G3" s="3" t="str">
        <f>A3</f>
        <v>report.output-format</v>
      </c>
      <c r="H3" s="3" t="str">
        <f>"/admin/meta/" &amp; A3</f>
        <v>/admin/meta/report.output-format</v>
      </c>
    </row>
    <row r="4">
      <c r="A4" s="2" t="s">
        <v>1748</v>
      </c>
      <c r="B4" s="2" t="s">
        <v>1740</v>
      </c>
      <c r="C4" s="2" t="s">
        <v>1749</v>
      </c>
      <c r="D4" s="2" t="s">
        <v>1750</v>
      </c>
      <c r="E4" s="2" t="s">
        <v>1751</v>
      </c>
      <c r="F4" s="2" t="s">
        <v>1284</v>
      </c>
      <c r="G4" s="3" t="str">
        <f>A4</f>
        <v>report.fragment-join</v>
      </c>
      <c r="H4" s="3" t="str">
        <f>"/admin/meta/" &amp; A4</f>
        <v>/admin/meta/report.fragment-join</v>
      </c>
    </row>
    <row r="5">
      <c r="A5" s="2" t="s">
        <v>1752</v>
      </c>
      <c r="B5" s="2" t="s">
        <v>1740</v>
      </c>
      <c r="C5" s="2" t="s">
        <v>1753</v>
      </c>
      <c r="D5" s="2" t="s">
        <v>1754</v>
      </c>
      <c r="E5" s="2" t="s">
        <v>1755</v>
      </c>
      <c r="F5" s="2" t="s">
        <v>1744</v>
      </c>
      <c r="G5" s="3" t="str">
        <f>A5</f>
        <v>report.suppress-empty-fragments</v>
      </c>
      <c r="H5" s="3" t="str">
        <f>"/admin/meta/" &amp; A5</f>
        <v>/admin/meta/report.suppress-empty-fragments</v>
      </c>
    </row>
    <row r="6">
      <c r="A6" s="2" t="s">
        <v>1756</v>
      </c>
      <c r="B6" s="2" t="s">
        <v>1757</v>
      </c>
      <c r="C6" s="2" t="s">
        <v>1758</v>
      </c>
      <c r="D6" s="2" t="s">
        <v>1757</v>
      </c>
      <c r="E6" s="2" t="s">
        <v>1759</v>
      </c>
      <c r="F6" s="2" t="s">
        <v>1760</v>
      </c>
      <c r="G6" s="3" t="str">
        <f>A6</f>
        <v>phrase.presented-with</v>
      </c>
      <c r="H6" s="3" t="str">
        <f>"/admin/meta/" &amp; A6</f>
        <v>/admin/meta/phrase.presented-with</v>
      </c>
    </row>
    <row r="7">
      <c r="A7" s="2" t="s">
        <v>1761</v>
      </c>
      <c r="B7" s="2" t="s">
        <v>1757</v>
      </c>
      <c r="C7" s="2" t="s">
        <v>1762</v>
      </c>
      <c r="D7" s="2" t="s">
        <v>1757</v>
      </c>
      <c r="E7" s="2" t="s">
        <v>1763</v>
      </c>
      <c r="F7" s="2" t="s">
        <v>1760</v>
      </c>
      <c r="G7" s="3" t="str">
        <f>A7</f>
        <v>phrase.therefore</v>
      </c>
      <c r="H7" s="3" t="str">
        <f>"/admin/meta/" &amp; A7</f>
        <v>/admin/meta/phrase.therefore</v>
      </c>
    </row>
    <row r="8">
      <c r="A8" s="2" t="s">
        <v>1764</v>
      </c>
      <c r="B8" s="2" t="s">
        <v>1757</v>
      </c>
      <c r="C8" s="2" t="s">
        <v>1765</v>
      </c>
      <c r="D8" s="2" t="s">
        <v>1757</v>
      </c>
      <c r="E8" s="2" t="s">
        <v>1766</v>
      </c>
      <c r="F8" s="2" t="s">
        <v>1760</v>
      </c>
      <c r="G8" s="3" t="str">
        <f>A8</f>
        <v>phrase.deciding-reason</v>
      </c>
      <c r="H8" s="3" t="str">
        <f>"/admin/meta/" &amp; A8</f>
        <v>/admin/meta/phrase.deciding-reason</v>
      </c>
    </row>
    <row r="9">
      <c r="A9" s="2" t="s">
        <v>1767</v>
      </c>
      <c r="B9" s="2" t="s">
        <v>1757</v>
      </c>
      <c r="C9" s="2" t="s">
        <v>1768</v>
      </c>
      <c r="D9" s="2" t="s">
        <v>1757</v>
      </c>
      <c r="E9" s="2" t="s">
        <v>1769</v>
      </c>
      <c r="F9" s="2" t="s">
        <v>1284</v>
      </c>
      <c r="G9" s="3" t="str">
        <f>A9</f>
        <v>phrase.no-finding</v>
      </c>
      <c r="H9" s="3" t="str">
        <f>"/admin/meta/" &amp; A9</f>
        <v>/admin/meta/phrase.no-finding</v>
      </c>
    </row>
    <row r="10">
      <c r="A10" s="2" t="s">
        <v>1770</v>
      </c>
      <c r="B10" s="2" t="s">
        <v>1771</v>
      </c>
      <c r="C10" s="2" t="s">
        <v>1772</v>
      </c>
      <c r="D10" s="2" t="s">
        <v>1773</v>
      </c>
      <c r="E10" s="2" t="s">
        <v>1774</v>
      </c>
      <c r="F10" s="2" t="s">
        <v>1775</v>
      </c>
      <c r="G10" s="3" t="str">
        <f>A10</f>
        <v>band.temperature.normal-low</v>
      </c>
      <c r="H10" s="3" t="str">
        <f>"/admin/meta/" &amp; A10</f>
        <v>/admin/meta/band.temperature.normal-low</v>
      </c>
    </row>
    <row r="11">
      <c r="A11" s="2" t="s">
        <v>1776</v>
      </c>
      <c r="B11" s="2" t="s">
        <v>1771</v>
      </c>
      <c r="C11" s="2" t="s">
        <v>1777</v>
      </c>
      <c r="D11" s="2" t="s">
        <v>1773</v>
      </c>
      <c r="E11" s="2" t="s">
        <v>1778</v>
      </c>
      <c r="F11" s="2" t="s">
        <v>1775</v>
      </c>
      <c r="G11" s="3" t="str">
        <f>A11</f>
        <v>band.temperature.normal-high</v>
      </c>
      <c r="H11" s="3" t="str">
        <f>"/admin/meta/" &amp; A11</f>
        <v>/admin/meta/band.temperature.normal-high</v>
      </c>
    </row>
    <row r="12">
      <c r="A12" s="2" t="s">
        <v>1779</v>
      </c>
      <c r="B12" s="2" t="s">
        <v>1771</v>
      </c>
      <c r="C12" s="2" t="s">
        <v>1780</v>
      </c>
      <c r="D12" s="2" t="s">
        <v>1773</v>
      </c>
      <c r="E12" s="2" t="s">
        <v>1781</v>
      </c>
      <c r="F12" s="2" t="s">
        <v>1775</v>
      </c>
      <c r="G12" s="3" t="str">
        <f>A12</f>
        <v>band.temperature.fever-high</v>
      </c>
      <c r="H12" s="3" t="str">
        <f>"/admin/meta/" &amp; A12</f>
        <v>/admin/meta/band.temperature.fever-high</v>
      </c>
    </row>
    <row r="13">
      <c r="A13" s="2" t="s">
        <v>1782</v>
      </c>
      <c r="B13" s="2" t="s">
        <v>1783</v>
      </c>
      <c r="C13" s="2" t="s">
        <v>1784</v>
      </c>
      <c r="D13" s="2" t="s">
        <v>1757</v>
      </c>
      <c r="E13" s="2" t="s">
        <v>1785</v>
      </c>
      <c r="F13" s="2" t="s">
        <v>1760</v>
      </c>
      <c r="G13" s="3" t="str">
        <f>A13</f>
        <v>band.temperature.text.normal</v>
      </c>
      <c r="H13" s="3" t="str">
        <f>"/admin/meta/" &amp; A13</f>
        <v>/admin/meta/band.temperature.text.normal</v>
      </c>
    </row>
    <row r="14">
      <c r="A14" s="2" t="s">
        <v>1786</v>
      </c>
      <c r="B14" s="2" t="s">
        <v>1783</v>
      </c>
      <c r="C14" s="2" t="s">
        <v>1787</v>
      </c>
      <c r="D14" s="2" t="s">
        <v>1757</v>
      </c>
      <c r="E14" s="2" t="s">
        <v>1788</v>
      </c>
      <c r="F14" s="2" t="s">
        <v>1760</v>
      </c>
      <c r="G14" s="3" t="str">
        <f>A14</f>
        <v>band.temperature.text.light-fever</v>
      </c>
      <c r="H14" s="3" t="str">
        <f>"/admin/meta/" &amp; A14</f>
        <v>/admin/meta/band.temperature.text.light-fever</v>
      </c>
    </row>
    <row r="15">
      <c r="A15" s="2" t="s">
        <v>1789</v>
      </c>
      <c r="B15" s="2" t="s">
        <v>1783</v>
      </c>
      <c r="C15" s="2" t="s">
        <v>1790</v>
      </c>
      <c r="D15" s="2" t="s">
        <v>1757</v>
      </c>
      <c r="E15" s="2" t="s">
        <v>1791</v>
      </c>
      <c r="F15" s="2" t="s">
        <v>1760</v>
      </c>
      <c r="G15" s="3" t="str">
        <f>A15</f>
        <v>band.temperature.text.severe-fever</v>
      </c>
      <c r="H15" s="3" t="str">
        <f>"/admin/meta/" &amp; A15</f>
        <v>/admin/meta/band.temperature.text.severe-fever</v>
      </c>
    </row>
    <row r="16">
      <c r="A16" s="2" t="s">
        <v>1792</v>
      </c>
      <c r="B16" s="2" t="s">
        <v>1793</v>
      </c>
      <c r="C16" s="2" t="s">
        <v>1753</v>
      </c>
      <c r="D16" s="2" t="s">
        <v>1754</v>
      </c>
      <c r="E16" s="2" t="s">
        <v>1794</v>
      </c>
      <c r="F16" s="2" t="s">
        <v>1744</v>
      </c>
      <c r="G16" s="3" t="str">
        <f>A16</f>
        <v>report.coverage.require-every-patient-word</v>
      </c>
      <c r="H16" s="3" t="str">
        <f>"/admin/meta/" &amp; A16</f>
        <v>/admin/meta/report.coverage.require-every-patient-word</v>
      </c>
    </row>
    <row r="17">
      <c r="A17" s="2" t="s">
        <v>1795</v>
      </c>
      <c r="B17" s="2" t="s">
        <v>1793</v>
      </c>
      <c r="C17" s="2" t="s">
        <v>1753</v>
      </c>
      <c r="D17" s="2" t="s">
        <v>1754</v>
      </c>
      <c r="E17" s="2" t="s">
        <v>1796</v>
      </c>
      <c r="F17" s="2" t="s">
        <v>1744</v>
      </c>
      <c r="G17" s="3" t="str">
        <f>A17</f>
        <v>report.coverage.require-every-dag-node</v>
      </c>
      <c r="H17" s="3" t="str">
        <f>"/admin/meta/" &amp; A17</f>
        <v>/admin/meta/report.coverage.require-every-dag-node</v>
      </c>
    </row>
    <row r="18">
      <c r="A18" s="2" t="s">
        <v>1797</v>
      </c>
      <c r="B18" s="2"/>
      <c r="C18" s="2"/>
      <c r="D18" s="2" t="s">
        <v>1750</v>
      </c>
      <c r="E18" s="2"/>
      <c r="F18" s="2"/>
      <c r="G18" s="3" t="str">
        <f>A18</f>
        <v>cmcc_summary</v>
      </c>
      <c r="H18" s="3" t="str">
        <f>"/admin/meta/" &amp; A18</f>
        <v>/admin/meta/cmcc_summary</v>
      </c>
    </row>
    <row r="19">
      <c r="A19" s="2" t="s">
        <v>1798</v>
      </c>
      <c r="B19" s="2"/>
      <c r="C19" s="2"/>
      <c r="D19" s="2" t="s">
        <v>1799</v>
      </c>
      <c r="E19" s="2"/>
      <c r="F19" s="2"/>
      <c r="G19" s="3" t="str">
        <f>A19</f>
        <v>conversion_metadata</v>
      </c>
      <c r="H19" s="3" t="str">
        <f>"/admin/meta/" &amp; A19</f>
        <v>/admin/meta/conversion_metadata</v>
      </c>
    </row>
  </sheetData>
  <autoFilter ref="A1:H1"/>
  <headerFooter/>
  <legacyDrawing r:id="rId1"/>
</worksheet>
</file>

<file path=xl/worksheets/sheet3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27"/>
  <sheetViews>
    <sheetView workbookViewId="0">
      <pane ySplit="1" topLeftCell="A2" state="frozen" activePane="bottomLeft"/>
      <selection pane="bottomLeft" activeCell="A1" sqref="A1"/>
    </sheetView>
  </sheetViews>
  <sheetFormatPr defaultRowHeight="15"/>
  <cols>
    <col min="1" max="1" width="27.739782333374023" customWidth="1"/>
    <col min="2" max="2" width="42.18617630004883" customWidth="1"/>
    <col min="3" max="3" width="17.443378448486328" customWidth="1"/>
    <col min="4" max="4" width="17.443378448486328" customWidth="1"/>
    <col min="5" max="5" width="184.0491180419922" customWidth="1"/>
    <col min="6" max="6" width="69.81665802001953" customWidth="1"/>
    <col min="7" max="7" width="42.18617630004883" customWidth="1"/>
    <col min="8" max="8" width="52.031272888183594" customWidth="1"/>
    <col min="9" max="9" width="17.656658172607422" customWidth="1"/>
    <col min="10" max="10" width="18.580236434936523" customWidth="1"/>
  </cols>
  <sheetData>
    <row r="1">
      <c r="A1" s="1" t="s">
        <v>1800</v>
      </c>
      <c r="B1" s="1" t="s">
        <v>1801</v>
      </c>
      <c r="C1" s="1" t="s">
        <v>1802</v>
      </c>
      <c r="D1" s="1" t="s">
        <v>1803</v>
      </c>
      <c r="E1" s="1" t="s">
        <v>1075</v>
      </c>
      <c r="F1" s="1" t="s">
        <v>1804</v>
      </c>
      <c r="G1" s="1" t="s">
        <v>3</v>
      </c>
      <c r="H1" s="1" t="s">
        <v>4</v>
      </c>
      <c r="I1" s="1" t="s">
        <v>1805</v>
      </c>
      <c r="J1" s="1" t="s">
        <v>1806</v>
      </c>
    </row>
    <row r="2">
      <c r="A2" s="2" t="s">
        <v>1807</v>
      </c>
      <c r="B2" s="2" t="s">
        <v>1808</v>
      </c>
      <c r="C2" s="2" t="s">
        <v>1809</v>
      </c>
      <c r="D2" s="2" t="s">
        <v>1810</v>
      </c>
      <c r="E2" s="2" t="s">
        <v>1811</v>
      </c>
      <c r="F2" s="2" t="s">
        <v>1812</v>
      </c>
      <c r="G2" s="3" t="str">
        <f>B2</f>
        <v>Lupus Nephritis</v>
      </c>
      <c r="H2" s="3" t="str">
        <f>"/admin/disease-concepts/" &amp; A2</f>
        <v>/admin/disease-concepts/lupus-nephritis</v>
      </c>
      <c r="I2" s="3" t="b">
        <f>IF(D2="deep-dag", TRUE(), FALSE())</f>
        <v>1</v>
      </c>
      <c r="J2" s="3" t="b">
        <f>IF(OR(D2="deep-dag",D2="schema"), TRUE(), FALSE())</f>
        <v>1</v>
      </c>
    </row>
    <row r="3">
      <c r="A3" s="2" t="s">
        <v>1813</v>
      </c>
      <c r="B3" s="2" t="s">
        <v>1814</v>
      </c>
      <c r="C3" s="2" t="s">
        <v>1809</v>
      </c>
      <c r="D3" s="2" t="s">
        <v>1810</v>
      </c>
      <c r="E3" s="2" t="s">
        <v>1815</v>
      </c>
      <c r="F3" s="2" t="s">
        <v>1816</v>
      </c>
      <c r="G3" s="3" t="str">
        <f>B3</f>
        <v>Treatment-Line Selection</v>
      </c>
      <c r="H3" s="3" t="str">
        <f>"/admin/disease-concepts/" &amp; A3</f>
        <v>/admin/disease-concepts/treatment-line-selection</v>
      </c>
      <c r="I3" s="3" t="b">
        <f>IF(D3="deep-dag", TRUE(), FALSE())</f>
        <v>1</v>
      </c>
      <c r="J3" s="3" t="b">
        <f>IF(OR(D3="deep-dag",D3="schema"), TRUE(), FALSE())</f>
        <v>1</v>
      </c>
    </row>
    <row r="4">
      <c r="A4" s="2" t="s">
        <v>1817</v>
      </c>
      <c r="B4" s="2" t="s">
        <v>1818</v>
      </c>
      <c r="C4" s="2" t="s">
        <v>1809</v>
      </c>
      <c r="D4" s="2" t="s">
        <v>1819</v>
      </c>
      <c r="E4" s="2" t="s">
        <v>1820</v>
      </c>
      <c r="F4" s="2" t="s">
        <v>1821</v>
      </c>
      <c r="G4" s="3" t="str">
        <f>B4</f>
        <v>Neuropsychiatric Lupus (NPSLE)</v>
      </c>
      <c r="H4" s="3" t="str">
        <f>"/admin/disease-concepts/" &amp; A4</f>
        <v>/admin/disease-concepts/neuropsychiatric-lupus</v>
      </c>
      <c r="I4" s="3" t="b">
        <f>IF(D4="deep-dag", TRUE(), FALSE())</f>
        <v>0</v>
      </c>
      <c r="J4" s="3" t="b">
        <f>IF(OR(D4="deep-dag",D4="schema"), TRUE(), FALSE())</f>
        <v>1</v>
      </c>
    </row>
    <row r="5">
      <c r="A5" s="2" t="s">
        <v>1822</v>
      </c>
      <c r="B5" s="2" t="s">
        <v>1823</v>
      </c>
      <c r="C5" s="2" t="s">
        <v>1809</v>
      </c>
      <c r="D5" s="2" t="s">
        <v>1819</v>
      </c>
      <c r="E5" s="2" t="s">
        <v>1824</v>
      </c>
      <c r="F5" s="2" t="s">
        <v>1825</v>
      </c>
      <c r="G5" s="3" t="str">
        <f>B5</f>
        <v>Cutaneous Lupus</v>
      </c>
      <c r="H5" s="3" t="str">
        <f>"/admin/disease-concepts/" &amp; A5</f>
        <v>/admin/disease-concepts/cutaneous-lupus</v>
      </c>
      <c r="I5" s="3" t="b">
        <f>IF(D5="deep-dag", TRUE(), FALSE())</f>
        <v>0</v>
      </c>
      <c r="J5" s="3" t="b">
        <f>IF(OR(D5="deep-dag",D5="schema"), TRUE(), FALSE())</f>
        <v>1</v>
      </c>
    </row>
    <row r="6">
      <c r="A6" s="2" t="s">
        <v>1826</v>
      </c>
      <c r="B6" s="2" t="s">
        <v>1827</v>
      </c>
      <c r="C6" s="2" t="s">
        <v>1809</v>
      </c>
      <c r="D6" s="2" t="s">
        <v>1819</v>
      </c>
      <c r="E6" s="2" t="s">
        <v>1828</v>
      </c>
      <c r="F6" s="2" t="s">
        <v>1829</v>
      </c>
      <c r="G6" s="3" t="str">
        <f>B6</f>
        <v>Organ Damage (SLICC/ACR Damage Index)</v>
      </c>
      <c r="H6" s="3" t="str">
        <f>"/admin/disease-concepts/" &amp; A6</f>
        <v>/admin/disease-concepts/organ-damage-slicc</v>
      </c>
      <c r="I6" s="3" t="b">
        <f>IF(D6="deep-dag", TRUE(), FALSE())</f>
        <v>0</v>
      </c>
      <c r="J6" s="3" t="b">
        <f>IF(OR(D6="deep-dag",D6="schema"), TRUE(), FALSE())</f>
        <v>1</v>
      </c>
    </row>
    <row r="7">
      <c r="A7" s="2" t="s">
        <v>1830</v>
      </c>
      <c r="B7" s="2" t="s">
        <v>1831</v>
      </c>
      <c r="C7" s="2" t="s">
        <v>1832</v>
      </c>
      <c r="D7" s="2" t="s">
        <v>1819</v>
      </c>
      <c r="E7" s="2" t="s">
        <v>1833</v>
      </c>
      <c r="F7" s="2" t="s">
        <v>1834</v>
      </c>
      <c r="G7" s="3" t="str">
        <f>B7</f>
        <v>Seropositive RA (ACPA/RF+)</v>
      </c>
      <c r="H7" s="3" t="str">
        <f>"/admin/disease-concepts/" &amp; A7</f>
        <v>/admin/disease-concepts/seropositive-ra</v>
      </c>
      <c r="I7" s="3" t="b">
        <f>IF(D7="deep-dag", TRUE(), FALSE())</f>
        <v>0</v>
      </c>
      <c r="J7" s="3" t="b">
        <f>IF(OR(D7="deep-dag",D7="schema"), TRUE(), FALSE())</f>
        <v>1</v>
      </c>
    </row>
    <row r="8">
      <c r="A8" s="2" t="s">
        <v>1835</v>
      </c>
      <c r="B8" s="2" t="s">
        <v>1836</v>
      </c>
      <c r="C8" s="2" t="s">
        <v>1832</v>
      </c>
      <c r="D8" s="2" t="s">
        <v>1819</v>
      </c>
      <c r="E8" s="2" t="s">
        <v>1837</v>
      </c>
      <c r="F8" s="2" t="s">
        <v>1838</v>
      </c>
      <c r="G8" s="3" t="str">
        <f>B8</f>
        <v>Seronegative RA (ACPA/RF-)</v>
      </c>
      <c r="H8" s="3" t="str">
        <f>"/admin/disease-concepts/" &amp; A8</f>
        <v>/admin/disease-concepts/seronegative-ra</v>
      </c>
      <c r="I8" s="3" t="b">
        <f>IF(D8="deep-dag", TRUE(), FALSE())</f>
        <v>0</v>
      </c>
      <c r="J8" s="3" t="b">
        <f>IF(OR(D8="deep-dag",D8="schema"), TRUE(), FALSE())</f>
        <v>1</v>
      </c>
    </row>
    <row r="9">
      <c r="A9" s="2" t="s">
        <v>1839</v>
      </c>
      <c r="B9" s="2" t="s">
        <v>1840</v>
      </c>
      <c r="C9" s="2" t="s">
        <v>1832</v>
      </c>
      <c r="D9" s="2" t="s">
        <v>1819</v>
      </c>
      <c r="E9" s="2" t="s">
        <v>1841</v>
      </c>
      <c r="F9" s="2" t="s">
        <v>1842</v>
      </c>
      <c r="G9" s="3" t="str">
        <f>B9</f>
        <v>Erosive Disease</v>
      </c>
      <c r="H9" s="3" t="str">
        <f>"/admin/disease-concepts/" &amp; A9</f>
        <v>/admin/disease-concepts/erosive-disease</v>
      </c>
      <c r="I9" s="3" t="b">
        <f>IF(D9="deep-dag", TRUE(), FALSE())</f>
        <v>0</v>
      </c>
      <c r="J9" s="3" t="b">
        <f>IF(OR(D9="deep-dag",D9="schema"), TRUE(), FALSE())</f>
        <v>1</v>
      </c>
    </row>
    <row r="10">
      <c r="A10" s="2" t="s">
        <v>1843</v>
      </c>
      <c r="B10" s="2" t="s">
        <v>1844</v>
      </c>
      <c r="C10" s="2" t="s">
        <v>1845</v>
      </c>
      <c r="D10" s="2" t="s">
        <v>1819</v>
      </c>
      <c r="E10" s="2" t="s">
        <v>1846</v>
      </c>
      <c r="F10" s="2" t="s">
        <v>1825</v>
      </c>
      <c r="G10" s="3" t="str">
        <f>B10</f>
        <v>Axial Psoriatic Arthritis</v>
      </c>
      <c r="H10" s="3" t="str">
        <f>"/admin/disease-concepts/" &amp; A10</f>
        <v>/admin/disease-concepts/axial-psa</v>
      </c>
      <c r="I10" s="3" t="b">
        <f>IF(D10="deep-dag", TRUE(), FALSE())</f>
        <v>0</v>
      </c>
      <c r="J10" s="3" t="b">
        <f>IF(OR(D10="deep-dag",D10="schema"), TRUE(), FALSE())</f>
        <v>1</v>
      </c>
    </row>
    <row r="11">
      <c r="A11" s="2" t="s">
        <v>1847</v>
      </c>
      <c r="B11" s="2" t="s">
        <v>1848</v>
      </c>
      <c r="C11" s="2" t="s">
        <v>1845</v>
      </c>
      <c r="D11" s="2" t="s">
        <v>1819</v>
      </c>
      <c r="E11" s="2" t="s">
        <v>1849</v>
      </c>
      <c r="F11" s="2" t="s">
        <v>1825</v>
      </c>
      <c r="G11" s="3" t="str">
        <f>B11</f>
        <v>Enthesitis</v>
      </c>
      <c r="H11" s="3" t="str">
        <f>"/admin/disease-concepts/" &amp; A11</f>
        <v>/admin/disease-concepts/enthesitis</v>
      </c>
      <c r="I11" s="3" t="b">
        <f>IF(D11="deep-dag", TRUE(), FALSE())</f>
        <v>0</v>
      </c>
      <c r="J11" s="3" t="b">
        <f>IF(OR(D11="deep-dag",D11="schema"), TRUE(), FALSE())</f>
        <v>1</v>
      </c>
    </row>
    <row r="12">
      <c r="A12" s="2" t="s">
        <v>1850</v>
      </c>
      <c r="B12" s="2" t="s">
        <v>1851</v>
      </c>
      <c r="C12" s="2" t="s">
        <v>1845</v>
      </c>
      <c r="D12" s="2" t="s">
        <v>1819</v>
      </c>
      <c r="E12" s="2" t="s">
        <v>1852</v>
      </c>
      <c r="F12" s="2" t="s">
        <v>1825</v>
      </c>
      <c r="G12" s="3" t="str">
        <f>B12</f>
        <v>Dactylitis</v>
      </c>
      <c r="H12" s="3" t="str">
        <f>"/admin/disease-concepts/" &amp; A12</f>
        <v>/admin/disease-concepts/dactylitis</v>
      </c>
      <c r="I12" s="3" t="b">
        <f>IF(D12="deep-dag", TRUE(), FALSE())</f>
        <v>0</v>
      </c>
      <c r="J12" s="3" t="b">
        <f>IF(OR(D12="deep-dag",D12="schema"), TRUE(), FALSE())</f>
        <v>1</v>
      </c>
    </row>
    <row r="13">
      <c r="A13" s="2" t="s">
        <v>1853</v>
      </c>
      <c r="B13" s="2" t="s">
        <v>1854</v>
      </c>
      <c r="C13" s="2" t="s">
        <v>1845</v>
      </c>
      <c r="D13" s="2" t="s">
        <v>1819</v>
      </c>
      <c r="E13" s="2" t="s">
        <v>1855</v>
      </c>
      <c r="F13" s="2" t="s">
        <v>1856</v>
      </c>
      <c r="G13" s="3" t="str">
        <f>B13</f>
        <v>Uveitis</v>
      </c>
      <c r="H13" s="3" t="str">
        <f>"/admin/disease-concepts/" &amp; A13</f>
        <v>/admin/disease-concepts/uveitis</v>
      </c>
      <c r="I13" s="3" t="b">
        <f>IF(D13="deep-dag", TRUE(), FALSE())</f>
        <v>0</v>
      </c>
      <c r="J13" s="3" t="b">
        <f>IF(OR(D13="deep-dag",D13="schema"), TRUE(), FALSE())</f>
        <v>1</v>
      </c>
    </row>
    <row r="14">
      <c r="A14" s="2" t="s">
        <v>1857</v>
      </c>
      <c r="B14" s="2" t="s">
        <v>1858</v>
      </c>
      <c r="C14" s="2" t="s">
        <v>1845</v>
      </c>
      <c r="D14" s="2" t="s">
        <v>1819</v>
      </c>
      <c r="E14" s="2" t="s">
        <v>1859</v>
      </c>
      <c r="F14" s="2" t="s">
        <v>1860</v>
      </c>
      <c r="G14" s="3" t="str">
        <f>B14</f>
        <v>Inflammatory Bowel Disease Overlap</v>
      </c>
      <c r="H14" s="3" t="str">
        <f>"/admin/disease-concepts/" &amp; A14</f>
        <v>/admin/disease-concepts/ibd-overlap</v>
      </c>
      <c r="I14" s="3" t="b">
        <f>IF(D14="deep-dag", TRUE(), FALSE())</f>
        <v>0</v>
      </c>
      <c r="J14" s="3" t="b">
        <f>IF(OR(D14="deep-dag",D14="schema"), TRUE(), FALSE())</f>
        <v>1</v>
      </c>
    </row>
    <row r="15">
      <c r="A15" s="2" t="s">
        <v>1861</v>
      </c>
      <c r="B15" s="2" t="s">
        <v>1862</v>
      </c>
      <c r="C15" s="2" t="s">
        <v>1863</v>
      </c>
      <c r="D15" s="2" t="s">
        <v>1819</v>
      </c>
      <c r="E15" s="2" t="s">
        <v>1864</v>
      </c>
      <c r="F15" s="2" t="s">
        <v>1865</v>
      </c>
      <c r="G15" s="3" t="str">
        <f>B15</f>
        <v>Flare Pattern</v>
      </c>
      <c r="H15" s="3" t="str">
        <f>"/admin/disease-concepts/" &amp; A15</f>
        <v>/admin/disease-concepts/flare-pattern</v>
      </c>
      <c r="I15" s="3" t="b">
        <f>IF(D15="deep-dag", TRUE(), FALSE())</f>
        <v>0</v>
      </c>
      <c r="J15" s="3" t="b">
        <f>IF(OR(D15="deep-dag",D15="schema"), TRUE(), FALSE())</f>
        <v>1</v>
      </c>
    </row>
    <row r="16">
      <c r="A16" s="2" t="s">
        <v>1866</v>
      </c>
      <c r="B16" s="2" t="s">
        <v>1867</v>
      </c>
      <c r="C16" s="2" t="s">
        <v>1863</v>
      </c>
      <c r="D16" s="2" t="s">
        <v>1810</v>
      </c>
      <c r="E16" s="2" t="s">
        <v>1868</v>
      </c>
      <c r="F16" s="2" t="s">
        <v>1869</v>
      </c>
      <c r="G16" s="3" t="str">
        <f>B16</f>
        <v>Disease-Activity Score (SLEDAI / DAS28)</v>
      </c>
      <c r="H16" s="3" t="str">
        <f>"/admin/disease-concepts/" &amp; A16</f>
        <v>/admin/disease-concepts/disease-activity-score</v>
      </c>
      <c r="I16" s="3" t="b">
        <f>IF(D16="deep-dag", TRUE(), FALSE())</f>
        <v>1</v>
      </c>
      <c r="J16" s="3" t="b">
        <f>IF(OR(D16="deep-dag",D16="schema"), TRUE(), FALSE())</f>
        <v>1</v>
      </c>
    </row>
    <row r="17">
      <c r="A17" s="2" t="s">
        <v>1870</v>
      </c>
      <c r="B17" s="2" t="s">
        <v>1871</v>
      </c>
      <c r="C17" s="2" t="s">
        <v>1863</v>
      </c>
      <c r="D17" s="2" t="s">
        <v>1819</v>
      </c>
      <c r="E17" s="2" t="s">
        <v>1872</v>
      </c>
      <c r="F17" s="2" t="s">
        <v>1873</v>
      </c>
      <c r="G17" s="3" t="str">
        <f>B17</f>
        <v>Treatment Line</v>
      </c>
      <c r="H17" s="3" t="str">
        <f>"/admin/disease-concepts/" &amp; A17</f>
        <v>/admin/disease-concepts/treatment-line</v>
      </c>
      <c r="I17" s="3" t="b">
        <f>IF(D17="deep-dag", TRUE(), FALSE())</f>
        <v>0</v>
      </c>
      <c r="J17" s="3" t="b">
        <f>IF(OR(D17="deep-dag",D17="schema"), TRUE(), FALSE())</f>
        <v>1</v>
      </c>
    </row>
    <row r="18">
      <c r="A18" s="2" t="s">
        <v>1874</v>
      </c>
      <c r="B18" s="2" t="s">
        <v>1875</v>
      </c>
      <c r="C18" s="2" t="s">
        <v>1863</v>
      </c>
      <c r="D18" s="2" t="s">
        <v>1876</v>
      </c>
      <c r="E18" s="2" t="s">
        <v>1877</v>
      </c>
      <c r="F18" s="2" t="s">
        <v>1878</v>
      </c>
      <c r="G18" s="3" t="str">
        <f>B18</f>
        <v>Adverse-Event Surveillance</v>
      </c>
      <c r="H18" s="3" t="str">
        <f>"/admin/disease-concepts/" &amp; A18</f>
        <v>/admin/disease-concepts/adverse-event-surveillance</v>
      </c>
      <c r="I18" s="3" t="b">
        <f>IF(D18="deep-dag", TRUE(), FALSE())</f>
        <v>0</v>
      </c>
      <c r="J18" s="3" t="b">
        <f>IF(OR(D18="deep-dag",D18="schema"), TRUE(), FALSE())</f>
        <v>0</v>
      </c>
    </row>
    <row r="19">
      <c r="A19" s="2" t="s">
        <v>1879</v>
      </c>
      <c r="B19" s="2" t="s">
        <v>1880</v>
      </c>
      <c r="C19" s="2" t="s">
        <v>1863</v>
      </c>
      <c r="D19" s="2" t="s">
        <v>1876</v>
      </c>
      <c r="E19" s="2" t="s">
        <v>1881</v>
      </c>
      <c r="F19" s="2" t="s">
        <v>1882</v>
      </c>
      <c r="G19" s="3" t="str">
        <f>B19</f>
        <v>Workflow: Referral</v>
      </c>
      <c r="H19" s="3" t="str">
        <f>"/admin/disease-concepts/" &amp; A19</f>
        <v>/admin/disease-concepts/workflow-referral</v>
      </c>
      <c r="I19" s="3" t="b">
        <f>IF(D19="deep-dag", TRUE(), FALSE())</f>
        <v>0</v>
      </c>
      <c r="J19" s="3" t="b">
        <f>IF(OR(D19="deep-dag",D19="schema"), TRUE(), FALSE())</f>
        <v>0</v>
      </c>
    </row>
    <row r="20">
      <c r="A20" s="2" t="s">
        <v>1883</v>
      </c>
      <c r="B20" s="2" t="s">
        <v>1884</v>
      </c>
      <c r="C20" s="2" t="s">
        <v>1863</v>
      </c>
      <c r="D20" s="2" t="s">
        <v>1876</v>
      </c>
      <c r="E20" s="2" t="s">
        <v>1885</v>
      </c>
      <c r="F20" s="2" t="s">
        <v>1882</v>
      </c>
      <c r="G20" s="3" t="str">
        <f>B20</f>
        <v>Workflow: Differential Diagnosis</v>
      </c>
      <c r="H20" s="3" t="str">
        <f>"/admin/disease-concepts/" &amp; A20</f>
        <v>/admin/disease-concepts/workflow-differential</v>
      </c>
      <c r="I20" s="3" t="b">
        <f>IF(D20="deep-dag", TRUE(), FALSE())</f>
        <v>0</v>
      </c>
      <c r="J20" s="3" t="b">
        <f>IF(OR(D20="deep-dag",D20="schema"), TRUE(), FALSE())</f>
        <v>0</v>
      </c>
    </row>
    <row r="21">
      <c r="A21" s="2" t="s">
        <v>1886</v>
      </c>
      <c r="B21" s="2" t="s">
        <v>1887</v>
      </c>
      <c r="C21" s="2" t="s">
        <v>1863</v>
      </c>
      <c r="D21" s="2" t="s">
        <v>1876</v>
      </c>
      <c r="E21" s="2" t="s">
        <v>1888</v>
      </c>
      <c r="F21" s="2" t="s">
        <v>1882</v>
      </c>
      <c r="G21" s="3" t="str">
        <f>B21</f>
        <v>Workflow: Workup</v>
      </c>
      <c r="H21" s="3" t="str">
        <f>"/admin/disease-concepts/" &amp; A21</f>
        <v>/admin/disease-concepts/workflow-workup</v>
      </c>
      <c r="I21" s="3" t="b">
        <f>IF(D21="deep-dag", TRUE(), FALSE())</f>
        <v>0</v>
      </c>
      <c r="J21" s="3" t="b">
        <f>IF(OR(D21="deep-dag",D21="schema"), TRUE(), FALSE())</f>
        <v>0</v>
      </c>
    </row>
    <row r="22">
      <c r="A22" s="2" t="s">
        <v>1889</v>
      </c>
      <c r="B22" s="2" t="s">
        <v>1890</v>
      </c>
      <c r="C22" s="2" t="s">
        <v>1863</v>
      </c>
      <c r="D22" s="2" t="s">
        <v>1876</v>
      </c>
      <c r="E22" s="2" t="s">
        <v>1891</v>
      </c>
      <c r="F22" s="2" t="s">
        <v>1882</v>
      </c>
      <c r="G22" s="3" t="str">
        <f>B22</f>
        <v>Workflow: Classification</v>
      </c>
      <c r="H22" s="3" t="str">
        <f>"/admin/disease-concepts/" &amp; A22</f>
        <v>/admin/disease-concepts/workflow-classification</v>
      </c>
      <c r="I22" s="3" t="b">
        <f>IF(D22="deep-dag", TRUE(), FALSE())</f>
        <v>0</v>
      </c>
      <c r="J22" s="3" t="b">
        <f>IF(OR(D22="deep-dag",D22="schema"), TRUE(), FALSE())</f>
        <v>0</v>
      </c>
    </row>
    <row r="23">
      <c r="A23" s="2" t="s">
        <v>1892</v>
      </c>
      <c r="B23" s="2" t="s">
        <v>1893</v>
      </c>
      <c r="C23" s="2" t="s">
        <v>1863</v>
      </c>
      <c r="D23" s="2" t="s">
        <v>1876</v>
      </c>
      <c r="E23" s="2" t="s">
        <v>1894</v>
      </c>
      <c r="F23" s="2" t="s">
        <v>1895</v>
      </c>
      <c r="G23" s="3" t="str">
        <f>B23</f>
        <v>Workflow: Baseline Severity Assessment</v>
      </c>
      <c r="H23" s="3" t="str">
        <f>"/admin/disease-concepts/" &amp; A23</f>
        <v>/admin/disease-concepts/workflow-baseline-severity</v>
      </c>
      <c r="I23" s="3" t="b">
        <f>IF(D23="deep-dag", TRUE(), FALSE())</f>
        <v>0</v>
      </c>
      <c r="J23" s="3" t="b">
        <f>IF(OR(D23="deep-dag",D23="schema"), TRUE(), FALSE())</f>
        <v>0</v>
      </c>
    </row>
    <row r="24">
      <c r="A24" s="2" t="s">
        <v>1896</v>
      </c>
      <c r="B24" s="2" t="s">
        <v>1897</v>
      </c>
      <c r="C24" s="2" t="s">
        <v>1863</v>
      </c>
      <c r="D24" s="2" t="s">
        <v>1876</v>
      </c>
      <c r="E24" s="2" t="s">
        <v>1898</v>
      </c>
      <c r="F24" s="2" t="s">
        <v>1899</v>
      </c>
      <c r="G24" s="3" t="str">
        <f>B24</f>
        <v>Workflow: Treatment Choice</v>
      </c>
      <c r="H24" s="3" t="str">
        <f>"/admin/disease-concepts/" &amp; A24</f>
        <v>/admin/disease-concepts/workflow-treatment-choice</v>
      </c>
      <c r="I24" s="3" t="b">
        <f>IF(D24="deep-dag", TRUE(), FALSE())</f>
        <v>0</v>
      </c>
      <c r="J24" s="3" t="b">
        <f>IF(OR(D24="deep-dag",D24="schema"), TRUE(), FALSE())</f>
        <v>0</v>
      </c>
    </row>
    <row r="25">
      <c r="A25" s="2" t="s">
        <v>1900</v>
      </c>
      <c r="B25" s="2" t="s">
        <v>1901</v>
      </c>
      <c r="C25" s="2" t="s">
        <v>1863</v>
      </c>
      <c r="D25" s="2" t="s">
        <v>1876</v>
      </c>
      <c r="E25" s="2" t="s">
        <v>1902</v>
      </c>
      <c r="F25" s="2" t="s">
        <v>1903</v>
      </c>
      <c r="G25" s="3" t="str">
        <f>B25</f>
        <v>Workflow: Monitoring</v>
      </c>
      <c r="H25" s="3" t="str">
        <f>"/admin/disease-concepts/" &amp; A25</f>
        <v>/admin/disease-concepts/workflow-monitoring</v>
      </c>
      <c r="I25" s="3" t="b">
        <f>IF(D25="deep-dag", TRUE(), FALSE())</f>
        <v>0</v>
      </c>
      <c r="J25" s="3" t="b">
        <f>IF(OR(D25="deep-dag",D25="schema"), TRUE(), FALSE())</f>
        <v>0</v>
      </c>
    </row>
    <row r="26">
      <c r="A26" s="2" t="s">
        <v>1904</v>
      </c>
      <c r="B26" s="2" t="s">
        <v>1905</v>
      </c>
      <c r="C26" s="2" t="s">
        <v>1863</v>
      </c>
      <c r="D26" s="2" t="s">
        <v>1876</v>
      </c>
      <c r="E26" s="2" t="s">
        <v>1906</v>
      </c>
      <c r="F26" s="2" t="s">
        <v>1907</v>
      </c>
      <c r="G26" s="3" t="str">
        <f>B26</f>
        <v>Workflow: Flare Management</v>
      </c>
      <c r="H26" s="3" t="str">
        <f>"/admin/disease-concepts/" &amp; A26</f>
        <v>/admin/disease-concepts/workflow-flare-management</v>
      </c>
      <c r="I26" s="3" t="b">
        <f>IF(D26="deep-dag", TRUE(), FALSE())</f>
        <v>0</v>
      </c>
      <c r="J26" s="3" t="b">
        <f>IF(OR(D26="deep-dag",D26="schema"), TRUE(), FALSE())</f>
        <v>0</v>
      </c>
    </row>
    <row r="27">
      <c r="A27" s="2" t="s">
        <v>1908</v>
      </c>
      <c r="B27" s="2" t="s">
        <v>1909</v>
      </c>
      <c r="C27" s="2" t="s">
        <v>1863</v>
      </c>
      <c r="D27" s="2" t="s">
        <v>1876</v>
      </c>
      <c r="E27" s="2" t="s">
        <v>1910</v>
      </c>
      <c r="F27" s="2" t="s">
        <v>1911</v>
      </c>
      <c r="G27" s="3" t="str">
        <f>B27</f>
        <v>Workflow: Long-Term Outcomes</v>
      </c>
      <c r="H27" s="3" t="str">
        <f>"/admin/disease-concepts/" &amp; A27</f>
        <v>/admin/disease-concepts/workflow-outcomes</v>
      </c>
      <c r="I27" s="3" t="b">
        <f>IF(D27="deep-dag", TRUE(), FALSE())</f>
        <v>0</v>
      </c>
      <c r="J27" s="3" t="b">
        <f>IF(OR(D27="deep-dag",D27="schema"), TRUE(), FALSE())</f>
        <v>0</v>
      </c>
    </row>
  </sheetData>
  <autoFilter ref="A1:J1"/>
  <headerFooter/>
  <legacyDrawing r:id="rId1"/>
</worksheet>
</file>

<file path=xl/worksheets/sheet3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26"/>
  <sheetViews>
    <sheetView workbookViewId="0">
      <pane ySplit="1" topLeftCell="A2" state="frozen" activePane="bottomLeft"/>
      <selection pane="bottomLeft" activeCell="A1" sqref="A1"/>
    </sheetView>
  </sheetViews>
  <sheetFormatPr defaultRowHeight="15"/>
  <cols>
    <col min="1" max="1" width="23.59739112854004" customWidth="1"/>
    <col min="2" max="2" width="17.443378448486328" customWidth="1"/>
    <col min="3" max="3" width="25.7781982421875" customWidth="1"/>
    <col min="4" max="4" width="17.443378448486328" customWidth="1"/>
    <col min="5" max="5" width="17.443378448486328" customWidth="1"/>
    <col min="6" max="6" width="17.443378448486328" customWidth="1"/>
    <col min="7" max="7" width="17.443378448486328" customWidth="1"/>
    <col min="8" max="8" width="20.153268814086914" customWidth="1"/>
    <col min="9" max="9" width="17.443378448486328" customWidth="1"/>
    <col min="10" max="10" width="25.933130264282227" customWidth="1"/>
    <col min="11" max="11" width="23.59739112854004" customWidth="1"/>
    <col min="12" max="12" width="18.10527801513672" customWidth="1"/>
    <col min="13" max="13" width="17.443378448486328" customWidth="1"/>
    <col min="14" max="14" width="17.443378448486328" customWidth="1"/>
    <col min="15" max="15" width="17.443378448486328" customWidth="1"/>
    <col min="16" max="16" width="18.84269905090332" customWidth="1"/>
    <col min="17" max="17" width="28.496641159057617" customWidth="1"/>
    <col min="18" max="18" width="23.233478546142578" customWidth="1"/>
    <col min="19" max="19" width="28.33704948425293" customWidth="1"/>
    <col min="20" max="20" width="18.021081924438477" customWidth="1"/>
    <col min="21" max="21" width="21.15044593811035" customWidth="1"/>
    <col min="22" max="22" width="17.443378448486328" customWidth="1"/>
    <col min="23" max="23" width="20.974843978881836" customWidth="1"/>
    <col min="24" max="24" width="22.967449188232422" customWidth="1"/>
    <col min="25" max="25" width="23.59739112854004" customWidth="1"/>
    <col min="26" max="26" width="39.197940826416016" customWidth="1"/>
  </cols>
  <sheetData>
    <row r="1">
      <c r="A1" s="1" t="s">
        <v>1912</v>
      </c>
      <c r="B1" s="1" t="s">
        <v>201</v>
      </c>
      <c r="C1" s="1" t="s">
        <v>1913</v>
      </c>
      <c r="D1" s="1" t="s">
        <v>1649</v>
      </c>
      <c r="E1" s="1" t="s">
        <v>1914</v>
      </c>
      <c r="F1" s="1" t="s">
        <v>1915</v>
      </c>
      <c r="G1" s="1" t="s">
        <v>1916</v>
      </c>
      <c r="H1" s="1" t="s">
        <v>1917</v>
      </c>
      <c r="I1" s="1" t="s">
        <v>1918</v>
      </c>
      <c r="J1" s="1" t="s">
        <v>1919</v>
      </c>
      <c r="K1" s="1" t="s">
        <v>1920</v>
      </c>
      <c r="L1" s="1" t="s">
        <v>1921</v>
      </c>
      <c r="M1" s="1" t="s">
        <v>1922</v>
      </c>
      <c r="N1" s="1" t="s">
        <v>1923</v>
      </c>
      <c r="O1" s="1" t="s">
        <v>1924</v>
      </c>
      <c r="P1" s="1" t="s">
        <v>1925</v>
      </c>
      <c r="Q1" s="1" t="s">
        <v>1926</v>
      </c>
      <c r="R1" s="1" t="s">
        <v>1927</v>
      </c>
      <c r="S1" s="1" t="s">
        <v>1928</v>
      </c>
      <c r="T1" s="1" t="s">
        <v>1929</v>
      </c>
      <c r="U1" s="1" t="s">
        <v>1930</v>
      </c>
      <c r="V1" s="1" t="s">
        <v>1931</v>
      </c>
      <c r="W1" s="1" t="s">
        <v>1932</v>
      </c>
      <c r="X1" s="1" t="s">
        <v>1933</v>
      </c>
      <c r="Y1" s="1" t="s">
        <v>3</v>
      </c>
      <c r="Z1" s="1" t="s">
        <v>4</v>
      </c>
    </row>
    <row r="2">
      <c r="A2" s="2" t="s">
        <v>1934</v>
      </c>
      <c r="B2" s="2" t="s">
        <v>145</v>
      </c>
      <c r="C2" s="6">
        <v>45901</v>
      </c>
      <c r="D2" s="2">
        <v>1</v>
      </c>
      <c r="E2" s="2">
        <v>40</v>
      </c>
      <c r="F2" s="2">
        <v>110</v>
      </c>
      <c r="G2" s="2">
        <v>22</v>
      </c>
      <c r="H2" s="2">
        <v>0.1</v>
      </c>
      <c r="I2" s="2">
        <v>95</v>
      </c>
      <c r="J2" s="2" t="b">
        <v>0</v>
      </c>
      <c r="K2" s="2"/>
      <c r="L2" s="3" t="e">
        <f>INDEX(E2, MATCH(K2,A2, 0))</f>
        <v>#N/A</v>
      </c>
      <c r="M2" s="3" t="e">
        <f>INDEX(F2, MATCH(K2,A2, 0))</f>
        <v>#N/A</v>
      </c>
      <c r="N2" s="3" t="e">
        <f>INDEX(G2, MATCH(K2,A2, 0))</f>
        <v>#N/A</v>
      </c>
      <c r="O2" s="3" t="e">
        <f>IF(ISBLANK(L2),"Stable",IF(E2&gt;L2*1.25,"Rising",IF(E2&lt;L2*0.8,"Falling","Stable")))</f>
        <v>#N/A</v>
      </c>
      <c r="P2" s="3" t="e">
        <f>IF(ISBLANK(M2),"Stable",IF((F2+G2)&lt;(M2+N2)*0.85,"Falling",IF((F2+G2)&gt;(M2+N2)*1.15,"Rising","Stable")))</f>
        <v>#N/A</v>
      </c>
      <c r="Q2" s="3" t="e">
        <f>IF(AND(O2="Rising",P2="Falling"),TRUE(),FALSE())</f>
        <v>#N/A</v>
      </c>
      <c r="R2" s="3" t="b">
        <f>IF(H2&gt;=0.5,TRUE(),FALSE())</f>
        <v>0</v>
      </c>
      <c r="S2" s="3" t="b">
        <f>IF(H2&gt;=3.0,TRUE(),FALSE())</f>
        <v>0</v>
      </c>
      <c r="T2" s="3">
        <f>IF(OR(S2,J2),8,IF(R2,4,0))</f>
        <v>0</v>
      </c>
      <c r="U2" s="3" t="e">
        <f>IF(AND(P2="Falling",O2="Rising"),4,IF(OR(P2="Falling",O2="Rising"),2,0))</f>
        <v>#N/A</v>
      </c>
      <c r="V2" s="3" t="e">
        <f>T2+U2</f>
        <v>#N/A</v>
      </c>
      <c r="W2" s="3" t="e">
        <f>IF(OR(S2,J2),"BiopsyIndicated",IF(H2&gt;=1.0,"RenalFlareRisk",IF(R2,"EarlyNephritis",IF(AND(O2="Rising",P2="Falling"),"SerologicActive","PresymptomaticAutoimmunity"))))</f>
        <v>#N/A</v>
      </c>
      <c r="X2" s="3" t="e">
        <f>IF(W2="BiopsyIndicated",5,IF(W2="RenalFlareRisk",4,IF(W2="EarlyNephritis",3,IF(W2="SerologicActive",2,1))))</f>
        <v>#N/A</v>
      </c>
      <c r="Y2" s="3" t="str">
        <f>A2</f>
        <v>sero-ind-a-reyes-1</v>
      </c>
      <c r="Z2" s="3" t="str">
        <f>"/admin/serology/" &amp; A2</f>
        <v>/admin/serology/sero-ind-a-reyes-1</v>
      </c>
    </row>
    <row r="3">
      <c r="A3" s="2" t="s">
        <v>1935</v>
      </c>
      <c r="B3" s="2" t="s">
        <v>145</v>
      </c>
      <c r="C3" s="6">
        <v>45992</v>
      </c>
      <c r="D3" s="2">
        <v>2</v>
      </c>
      <c r="E3" s="2">
        <v>95</v>
      </c>
      <c r="F3" s="2">
        <v>78</v>
      </c>
      <c r="G3" s="2">
        <v>12</v>
      </c>
      <c r="H3" s="2">
        <v>0.2</v>
      </c>
      <c r="I3" s="2">
        <v>94</v>
      </c>
      <c r="J3" s="2" t="b">
        <v>0</v>
      </c>
      <c r="K3" s="2" t="s">
        <v>1934</v>
      </c>
      <c r="L3" s="3" t="e">
        <f>INDEX(E3, MATCH(K3,A3, 0))</f>
        <v>#N/A</v>
      </c>
      <c r="M3" s="3" t="e">
        <f>INDEX(F3, MATCH(K3,A3, 0))</f>
        <v>#N/A</v>
      </c>
      <c r="N3" s="3" t="e">
        <f>INDEX(G3, MATCH(K3,A3, 0))</f>
        <v>#N/A</v>
      </c>
      <c r="O3" s="3" t="e">
        <f>IF(ISBLANK(L3),"Stable",IF(E3&gt;L3*1.25,"Rising",IF(E3&lt;L3*0.8,"Falling","Stable")))</f>
        <v>#N/A</v>
      </c>
      <c r="P3" s="3" t="e">
        <f>IF(ISBLANK(M3),"Stable",IF((F3+G3)&lt;(M3+N3)*0.85,"Falling",IF((F3+G3)&gt;(M3+N3)*1.15,"Rising","Stable")))</f>
        <v>#N/A</v>
      </c>
      <c r="Q3" s="3" t="e">
        <f>IF(AND(O3="Rising",P3="Falling"),TRUE(),FALSE())</f>
        <v>#N/A</v>
      </c>
      <c r="R3" s="3" t="b">
        <f>IF(H3&gt;=0.5,TRUE(),FALSE())</f>
        <v>0</v>
      </c>
      <c r="S3" s="3" t="b">
        <f>IF(H3&gt;=3.0,TRUE(),FALSE())</f>
        <v>0</v>
      </c>
      <c r="T3" s="3">
        <f>IF(OR(S3,J3),8,IF(R3,4,0))</f>
        <v>0</v>
      </c>
      <c r="U3" s="3" t="e">
        <f>IF(AND(P3="Falling",O3="Rising"),4,IF(OR(P3="Falling",O3="Rising"),2,0))</f>
        <v>#N/A</v>
      </c>
      <c r="V3" s="3" t="e">
        <f>T3+U3</f>
        <v>#N/A</v>
      </c>
      <c r="W3" s="3" t="e">
        <f>IF(OR(S3,J3),"BiopsyIndicated",IF(H3&gt;=1.0,"RenalFlareRisk",IF(R3,"EarlyNephritis",IF(AND(O3="Rising",P3="Falling"),"SerologicActive","PresymptomaticAutoimmunity"))))</f>
        <v>#N/A</v>
      </c>
      <c r="X3" s="3" t="e">
        <f>IF(W3="BiopsyIndicated",5,IF(W3="RenalFlareRisk",4,IF(W3="EarlyNephritis",3,IF(W3="SerologicActive",2,1))))</f>
        <v>#N/A</v>
      </c>
      <c r="Y3" s="3" t="str">
        <f>A3</f>
        <v>sero-ind-a-reyes-2</v>
      </c>
      <c r="Z3" s="3" t="str">
        <f>"/admin/serology/" &amp; A3</f>
        <v>/admin/serology/sero-ind-a-reyes-2</v>
      </c>
    </row>
    <row r="4">
      <c r="A4" s="2" t="s">
        <v>1936</v>
      </c>
      <c r="B4" s="2" t="s">
        <v>150</v>
      </c>
      <c r="C4" s="6">
        <v>45884</v>
      </c>
      <c r="D4" s="2">
        <v>1</v>
      </c>
      <c r="E4" s="2">
        <v>30</v>
      </c>
      <c r="F4" s="2">
        <v>120</v>
      </c>
      <c r="G4" s="2">
        <v>25</v>
      </c>
      <c r="H4" s="2">
        <v>0.05</v>
      </c>
      <c r="I4" s="2">
        <v>99</v>
      </c>
      <c r="J4" s="2" t="b">
        <v>0</v>
      </c>
      <c r="K4" s="2"/>
      <c r="L4" s="3" t="e">
        <f>INDEX(E4, MATCH(K4,A4, 0))</f>
        <v>#N/A</v>
      </c>
      <c r="M4" s="3" t="e">
        <f>INDEX(F4, MATCH(K4,A4, 0))</f>
        <v>#N/A</v>
      </c>
      <c r="N4" s="3" t="e">
        <f>INDEX(G4, MATCH(K4,A4, 0))</f>
        <v>#N/A</v>
      </c>
      <c r="O4" s="3" t="e">
        <f>IF(ISBLANK(L4),"Stable",IF(E4&gt;L4*1.25,"Rising",IF(E4&lt;L4*0.8,"Falling","Stable")))</f>
        <v>#N/A</v>
      </c>
      <c r="P4" s="3" t="e">
        <f>IF(ISBLANK(M4),"Stable",IF((F4+G4)&lt;(M4+N4)*0.85,"Falling",IF((F4+G4)&gt;(M4+N4)*1.15,"Rising","Stable")))</f>
        <v>#N/A</v>
      </c>
      <c r="Q4" s="3" t="e">
        <f>IF(AND(O4="Rising",P4="Falling"),TRUE(),FALSE())</f>
        <v>#N/A</v>
      </c>
      <c r="R4" s="3" t="b">
        <f>IF(H4&gt;=0.5,TRUE(),FALSE())</f>
        <v>0</v>
      </c>
      <c r="S4" s="3" t="b">
        <f>IF(H4&gt;=3.0,TRUE(),FALSE())</f>
        <v>0</v>
      </c>
      <c r="T4" s="3">
        <f>IF(OR(S4,J4),8,IF(R4,4,0))</f>
        <v>0</v>
      </c>
      <c r="U4" s="3" t="e">
        <f>IF(AND(P4="Falling",O4="Rising"),4,IF(OR(P4="Falling",O4="Rising"),2,0))</f>
        <v>#N/A</v>
      </c>
      <c r="V4" s="3" t="e">
        <f>T4+U4</f>
        <v>#N/A</v>
      </c>
      <c r="W4" s="3" t="e">
        <f>IF(OR(S4,J4),"BiopsyIndicated",IF(H4&gt;=1.0,"RenalFlareRisk",IF(R4,"EarlyNephritis",IF(AND(O4="Rising",P4="Falling"),"SerologicActive","PresymptomaticAutoimmunity"))))</f>
        <v>#N/A</v>
      </c>
      <c r="X4" s="3" t="e">
        <f>IF(W4="BiopsyIndicated",5,IF(W4="RenalFlareRisk",4,IF(W4="EarlyNephritis",3,IF(W4="SerologicActive",2,1))))</f>
        <v>#N/A</v>
      </c>
      <c r="Y4" s="3" t="str">
        <f>A4</f>
        <v>sero-ind-b-okafor-1</v>
      </c>
      <c r="Z4" s="3" t="str">
        <f>"/admin/serology/" &amp; A4</f>
        <v>/admin/serology/sero-ind-b-okafor-1</v>
      </c>
    </row>
    <row r="5">
      <c r="A5" s="2" t="s">
        <v>1937</v>
      </c>
      <c r="B5" s="2" t="s">
        <v>150</v>
      </c>
      <c r="C5" s="6">
        <v>45976</v>
      </c>
      <c r="D5" s="2">
        <v>2</v>
      </c>
      <c r="E5" s="2">
        <v>33</v>
      </c>
      <c r="F5" s="2">
        <v>118</v>
      </c>
      <c r="G5" s="2">
        <v>24</v>
      </c>
      <c r="H5" s="2">
        <v>0.08</v>
      </c>
      <c r="I5" s="2">
        <v>98</v>
      </c>
      <c r="J5" s="2" t="b">
        <v>0</v>
      </c>
      <c r="K5" s="2" t="s">
        <v>1936</v>
      </c>
      <c r="L5" s="3" t="e">
        <f>INDEX(E5, MATCH(K5,A5, 0))</f>
        <v>#N/A</v>
      </c>
      <c r="M5" s="3" t="e">
        <f>INDEX(F5, MATCH(K5,A5, 0))</f>
        <v>#N/A</v>
      </c>
      <c r="N5" s="3" t="e">
        <f>INDEX(G5, MATCH(K5,A5, 0))</f>
        <v>#N/A</v>
      </c>
      <c r="O5" s="3" t="e">
        <f>IF(ISBLANK(L5),"Stable",IF(E5&gt;L5*1.25,"Rising",IF(E5&lt;L5*0.8,"Falling","Stable")))</f>
        <v>#N/A</v>
      </c>
      <c r="P5" s="3" t="e">
        <f>IF(ISBLANK(M5),"Stable",IF((F5+G5)&lt;(M5+N5)*0.85,"Falling",IF((F5+G5)&gt;(M5+N5)*1.15,"Rising","Stable")))</f>
        <v>#N/A</v>
      </c>
      <c r="Q5" s="3" t="e">
        <f>IF(AND(O5="Rising",P5="Falling"),TRUE(),FALSE())</f>
        <v>#N/A</v>
      </c>
      <c r="R5" s="3" t="b">
        <f>IF(H5&gt;=0.5,TRUE(),FALSE())</f>
        <v>0</v>
      </c>
      <c r="S5" s="3" t="b">
        <f>IF(H5&gt;=3.0,TRUE(),FALSE())</f>
        <v>0</v>
      </c>
      <c r="T5" s="3">
        <f>IF(OR(S5,J5),8,IF(R5,4,0))</f>
        <v>0</v>
      </c>
      <c r="U5" s="3" t="e">
        <f>IF(AND(P5="Falling",O5="Rising"),4,IF(OR(P5="Falling",O5="Rising"),2,0))</f>
        <v>#N/A</v>
      </c>
      <c r="V5" s="3" t="e">
        <f>T5+U5</f>
        <v>#N/A</v>
      </c>
      <c r="W5" s="3" t="e">
        <f>IF(OR(S5,J5),"BiopsyIndicated",IF(H5&gt;=1.0,"RenalFlareRisk",IF(R5,"EarlyNephritis",IF(AND(O5="Rising",P5="Falling"),"SerologicActive","PresymptomaticAutoimmunity"))))</f>
        <v>#N/A</v>
      </c>
      <c r="X5" s="3" t="e">
        <f>IF(W5="BiopsyIndicated",5,IF(W5="RenalFlareRisk",4,IF(W5="EarlyNephritis",3,IF(W5="SerologicActive",2,1))))</f>
        <v>#N/A</v>
      </c>
      <c r="Y5" s="3" t="str">
        <f>A5</f>
        <v>sero-ind-b-okafor-2</v>
      </c>
      <c r="Z5" s="3" t="str">
        <f>"/admin/serology/" &amp; A5</f>
        <v>/admin/serology/sero-ind-b-okafor-2</v>
      </c>
    </row>
    <row r="6">
      <c r="A6" s="2" t="s">
        <v>1938</v>
      </c>
      <c r="B6" s="2" t="s">
        <v>154</v>
      </c>
      <c r="C6" s="6">
        <v>45839</v>
      </c>
      <c r="D6" s="2">
        <v>1</v>
      </c>
      <c r="E6" s="2">
        <v>50</v>
      </c>
      <c r="F6" s="2">
        <v>100</v>
      </c>
      <c r="G6" s="2">
        <v>20</v>
      </c>
      <c r="H6" s="2">
        <v>0.2</v>
      </c>
      <c r="I6" s="2">
        <v>92</v>
      </c>
      <c r="J6" s="2" t="b">
        <v>0</v>
      </c>
      <c r="K6" s="2"/>
      <c r="L6" s="3" t="e">
        <f>INDEX(E6, MATCH(K6,A6, 0))</f>
        <v>#N/A</v>
      </c>
      <c r="M6" s="3" t="e">
        <f>INDEX(F6, MATCH(K6,A6, 0))</f>
        <v>#N/A</v>
      </c>
      <c r="N6" s="3" t="e">
        <f>INDEX(G6, MATCH(K6,A6, 0))</f>
        <v>#N/A</v>
      </c>
      <c r="O6" s="3" t="e">
        <f>IF(ISBLANK(L6),"Stable",IF(E6&gt;L6*1.25,"Rising",IF(E6&lt;L6*0.8,"Falling","Stable")))</f>
        <v>#N/A</v>
      </c>
      <c r="P6" s="3" t="e">
        <f>IF(ISBLANK(M6),"Stable",IF((F6+G6)&lt;(M6+N6)*0.85,"Falling",IF((F6+G6)&gt;(M6+N6)*1.15,"Rising","Stable")))</f>
        <v>#N/A</v>
      </c>
      <c r="Q6" s="3" t="e">
        <f>IF(AND(O6="Rising",P6="Falling"),TRUE(),FALSE())</f>
        <v>#N/A</v>
      </c>
      <c r="R6" s="3" t="b">
        <f>IF(H6&gt;=0.5,TRUE(),FALSE())</f>
        <v>0</v>
      </c>
      <c r="S6" s="3" t="b">
        <f>IF(H6&gt;=3.0,TRUE(),FALSE())</f>
        <v>0</v>
      </c>
      <c r="T6" s="3">
        <f>IF(OR(S6,J6),8,IF(R6,4,0))</f>
        <v>0</v>
      </c>
      <c r="U6" s="3" t="e">
        <f>IF(AND(P6="Falling",O6="Rising"),4,IF(OR(P6="Falling",O6="Rising"),2,0))</f>
        <v>#N/A</v>
      </c>
      <c r="V6" s="3" t="e">
        <f>T6+U6</f>
        <v>#N/A</v>
      </c>
      <c r="W6" s="3" t="e">
        <f>IF(OR(S6,J6),"BiopsyIndicated",IF(H6&gt;=1.0,"RenalFlareRisk",IF(R6,"EarlyNephritis",IF(AND(O6="Rising",P6="Falling"),"SerologicActive","PresymptomaticAutoimmunity"))))</f>
        <v>#N/A</v>
      </c>
      <c r="X6" s="3" t="e">
        <f>IF(W6="BiopsyIndicated",5,IF(W6="RenalFlareRisk",4,IF(W6="EarlyNephritis",3,IF(W6="SerologicActive",2,1))))</f>
        <v>#N/A</v>
      </c>
      <c r="Y6" s="3" t="str">
        <f>A6</f>
        <v>sero-ind-c-chen-1</v>
      </c>
      <c r="Z6" s="3" t="str">
        <f>"/admin/serology/" &amp; A6</f>
        <v>/admin/serology/sero-ind-c-chen-1</v>
      </c>
    </row>
    <row r="7">
      <c r="A7" s="2" t="s">
        <v>1939</v>
      </c>
      <c r="B7" s="2" t="s">
        <v>154</v>
      </c>
      <c r="C7" s="6">
        <v>45931</v>
      </c>
      <c r="D7" s="2">
        <v>2</v>
      </c>
      <c r="E7" s="2">
        <v>120</v>
      </c>
      <c r="F7" s="2">
        <v>70</v>
      </c>
      <c r="G7" s="2">
        <v>10</v>
      </c>
      <c r="H7" s="2">
        <v>0.3</v>
      </c>
      <c r="I7" s="2">
        <v>90</v>
      </c>
      <c r="J7" s="2" t="b">
        <v>0</v>
      </c>
      <c r="K7" s="2" t="s">
        <v>1938</v>
      </c>
      <c r="L7" s="3" t="e">
        <f>INDEX(E7, MATCH(K7,A7, 0))</f>
        <v>#N/A</v>
      </c>
      <c r="M7" s="3" t="e">
        <f>INDEX(F7, MATCH(K7,A7, 0))</f>
        <v>#N/A</v>
      </c>
      <c r="N7" s="3" t="e">
        <f>INDEX(G7, MATCH(K7,A7, 0))</f>
        <v>#N/A</v>
      </c>
      <c r="O7" s="3" t="e">
        <f>IF(ISBLANK(L7),"Stable",IF(E7&gt;L7*1.25,"Rising",IF(E7&lt;L7*0.8,"Falling","Stable")))</f>
        <v>#N/A</v>
      </c>
      <c r="P7" s="3" t="e">
        <f>IF(ISBLANK(M7),"Stable",IF((F7+G7)&lt;(M7+N7)*0.85,"Falling",IF((F7+G7)&gt;(M7+N7)*1.15,"Rising","Stable")))</f>
        <v>#N/A</v>
      </c>
      <c r="Q7" s="3" t="e">
        <f>IF(AND(O7="Rising",P7="Falling"),TRUE(),FALSE())</f>
        <v>#N/A</v>
      </c>
      <c r="R7" s="3" t="b">
        <f>IF(H7&gt;=0.5,TRUE(),FALSE())</f>
        <v>0</v>
      </c>
      <c r="S7" s="3" t="b">
        <f>IF(H7&gt;=3.0,TRUE(),FALSE())</f>
        <v>0</v>
      </c>
      <c r="T7" s="3">
        <f>IF(OR(S7,J7),8,IF(R7,4,0))</f>
        <v>0</v>
      </c>
      <c r="U7" s="3" t="e">
        <f>IF(AND(P7="Falling",O7="Rising"),4,IF(OR(P7="Falling",O7="Rising"),2,0))</f>
        <v>#N/A</v>
      </c>
      <c r="V7" s="3" t="e">
        <f>T7+U7</f>
        <v>#N/A</v>
      </c>
      <c r="W7" s="3" t="e">
        <f>IF(OR(S7,J7),"BiopsyIndicated",IF(H7&gt;=1.0,"RenalFlareRisk",IF(R7,"EarlyNephritis",IF(AND(O7="Rising",P7="Falling"),"SerologicActive","PresymptomaticAutoimmunity"))))</f>
        <v>#N/A</v>
      </c>
      <c r="X7" s="3" t="e">
        <f>IF(W7="BiopsyIndicated",5,IF(W7="RenalFlareRisk",4,IF(W7="EarlyNephritis",3,IF(W7="SerologicActive",2,1))))</f>
        <v>#N/A</v>
      </c>
      <c r="Y7" s="3" t="str">
        <f>A7</f>
        <v>sero-ind-c-chen-2</v>
      </c>
      <c r="Z7" s="3" t="str">
        <f>"/admin/serology/" &amp; A7</f>
        <v>/admin/serology/sero-ind-c-chen-2</v>
      </c>
    </row>
    <row r="8">
      <c r="A8" s="2" t="s">
        <v>1940</v>
      </c>
      <c r="B8" s="2" t="s">
        <v>159</v>
      </c>
      <c r="C8" s="6">
        <v>45809</v>
      </c>
      <c r="D8" s="2">
        <v>1</v>
      </c>
      <c r="E8" s="2">
        <v>60</v>
      </c>
      <c r="F8" s="2">
        <v>95</v>
      </c>
      <c r="G8" s="2">
        <v>18</v>
      </c>
      <c r="H8" s="2">
        <v>0.4</v>
      </c>
      <c r="I8" s="2">
        <v>88</v>
      </c>
      <c r="J8" s="2" t="b">
        <v>0</v>
      </c>
      <c r="K8" s="2"/>
      <c r="L8" s="3" t="e">
        <f>INDEX(E8, MATCH(K8,A8, 0))</f>
        <v>#N/A</v>
      </c>
      <c r="M8" s="3" t="e">
        <f>INDEX(F8, MATCH(K8,A8, 0))</f>
        <v>#N/A</v>
      </c>
      <c r="N8" s="3" t="e">
        <f>INDEX(G8, MATCH(K8,A8, 0))</f>
        <v>#N/A</v>
      </c>
      <c r="O8" s="3" t="e">
        <f>IF(ISBLANK(L8),"Stable",IF(E8&gt;L8*1.25,"Rising",IF(E8&lt;L8*0.8,"Falling","Stable")))</f>
        <v>#N/A</v>
      </c>
      <c r="P8" s="3" t="e">
        <f>IF(ISBLANK(M8),"Stable",IF((F8+G8)&lt;(M8+N8)*0.85,"Falling",IF((F8+G8)&gt;(M8+N8)*1.15,"Rising","Stable")))</f>
        <v>#N/A</v>
      </c>
      <c r="Q8" s="3" t="e">
        <f>IF(AND(O8="Rising",P8="Falling"),TRUE(),FALSE())</f>
        <v>#N/A</v>
      </c>
      <c r="R8" s="3" t="b">
        <f>IF(H8&gt;=0.5,TRUE(),FALSE())</f>
        <v>0</v>
      </c>
      <c r="S8" s="3" t="b">
        <f>IF(H8&gt;=3.0,TRUE(),FALSE())</f>
        <v>0</v>
      </c>
      <c r="T8" s="3">
        <f>IF(OR(S8,J8),8,IF(R8,4,0))</f>
        <v>0</v>
      </c>
      <c r="U8" s="3" t="e">
        <f>IF(AND(P8="Falling",O8="Rising"),4,IF(OR(P8="Falling",O8="Rising"),2,0))</f>
        <v>#N/A</v>
      </c>
      <c r="V8" s="3" t="e">
        <f>T8+U8</f>
        <v>#N/A</v>
      </c>
      <c r="W8" s="3" t="e">
        <f>IF(OR(S8,J8),"BiopsyIndicated",IF(H8&gt;=1.0,"RenalFlareRisk",IF(R8,"EarlyNephritis",IF(AND(O8="Rising",P8="Falling"),"SerologicActive","PresymptomaticAutoimmunity"))))</f>
        <v>#N/A</v>
      </c>
      <c r="X8" s="3" t="e">
        <f>IF(W8="BiopsyIndicated",5,IF(W8="RenalFlareRisk",4,IF(W8="EarlyNephritis",3,IF(W8="SerologicActive",2,1))))</f>
        <v>#N/A</v>
      </c>
      <c r="Y8" s="3" t="str">
        <f>A8</f>
        <v>sero-ind-d-santos-1</v>
      </c>
      <c r="Z8" s="3" t="str">
        <f>"/admin/serology/" &amp; A8</f>
        <v>/admin/serology/sero-ind-d-santos-1</v>
      </c>
    </row>
    <row r="9">
      <c r="A9" s="2" t="s">
        <v>1941</v>
      </c>
      <c r="B9" s="2" t="s">
        <v>159</v>
      </c>
      <c r="C9" s="6">
        <v>45901</v>
      </c>
      <c r="D9" s="2">
        <v>2</v>
      </c>
      <c r="E9" s="2">
        <v>140</v>
      </c>
      <c r="F9" s="2">
        <v>60</v>
      </c>
      <c r="G9" s="2">
        <v>9</v>
      </c>
      <c r="H9" s="2">
        <v>1.2</v>
      </c>
      <c r="I9" s="2">
        <v>80</v>
      </c>
      <c r="J9" s="2" t="b">
        <v>0</v>
      </c>
      <c r="K9" s="2" t="s">
        <v>1940</v>
      </c>
      <c r="L9" s="3" t="e">
        <f>INDEX(E9, MATCH(K9,A9, 0))</f>
        <v>#N/A</v>
      </c>
      <c r="M9" s="3" t="e">
        <f>INDEX(F9, MATCH(K9,A9, 0))</f>
        <v>#N/A</v>
      </c>
      <c r="N9" s="3" t="e">
        <f>INDEX(G9, MATCH(K9,A9, 0))</f>
        <v>#N/A</v>
      </c>
      <c r="O9" s="3" t="e">
        <f>IF(ISBLANK(L9),"Stable",IF(E9&gt;L9*1.25,"Rising",IF(E9&lt;L9*0.8,"Falling","Stable")))</f>
        <v>#N/A</v>
      </c>
      <c r="P9" s="3" t="e">
        <f>IF(ISBLANK(M9),"Stable",IF((F9+G9)&lt;(M9+N9)*0.85,"Falling",IF((F9+G9)&gt;(M9+N9)*1.15,"Rising","Stable")))</f>
        <v>#N/A</v>
      </c>
      <c r="Q9" s="3" t="e">
        <f>IF(AND(O9="Rising",P9="Falling"),TRUE(),FALSE())</f>
        <v>#N/A</v>
      </c>
      <c r="R9" s="3" t="b">
        <f>IF(H9&gt;=0.5,TRUE(),FALSE())</f>
        <v>1</v>
      </c>
      <c r="S9" s="3" t="b">
        <f>IF(H9&gt;=3.0,TRUE(),FALSE())</f>
        <v>0</v>
      </c>
      <c r="T9" s="3">
        <f>IF(OR(S9,J9),8,IF(R9,4,0))</f>
        <v>4</v>
      </c>
      <c r="U9" s="3" t="e">
        <f>IF(AND(P9="Falling",O9="Rising"),4,IF(OR(P9="Falling",O9="Rising"),2,0))</f>
        <v>#N/A</v>
      </c>
      <c r="V9" s="3" t="e">
        <f>T9+U9</f>
        <v>#N/A</v>
      </c>
      <c r="W9" s="3" t="str">
        <f>IF(OR(S9,J9),"BiopsyIndicated",IF(H9&gt;=1.0,"RenalFlareRisk",IF(R9,"EarlyNephritis",IF(AND(O9="Rising",P9="Falling"),"SerologicActive","PresymptomaticAutoimmunity"))))</f>
        <v>RenalFlareRisk</v>
      </c>
      <c r="X9" s="3">
        <f>IF(W9="BiopsyIndicated",5,IF(W9="RenalFlareRisk",4,IF(W9="EarlyNephritis",3,IF(W9="SerologicActive",2,1))))</f>
        <v>4</v>
      </c>
      <c r="Y9" s="3" t="str">
        <f>A9</f>
        <v>sero-ind-d-santos-2</v>
      </c>
      <c r="Z9" s="3" t="str">
        <f>"/admin/serology/" &amp; A9</f>
        <v>/admin/serology/sero-ind-d-santos-2</v>
      </c>
    </row>
    <row r="10">
      <c r="A10" s="2" t="s">
        <v>1942</v>
      </c>
      <c r="B10" s="2" t="s">
        <v>159</v>
      </c>
      <c r="C10" s="6">
        <v>45992</v>
      </c>
      <c r="D10" s="2">
        <v>3</v>
      </c>
      <c r="E10" s="2">
        <v>180</v>
      </c>
      <c r="F10" s="2">
        <v>45</v>
      </c>
      <c r="G10" s="2">
        <v>6</v>
      </c>
      <c r="H10" s="2">
        <v>3.6</v>
      </c>
      <c r="I10" s="2">
        <v>68</v>
      </c>
      <c r="J10" s="2" t="b">
        <v>1</v>
      </c>
      <c r="K10" s="2" t="s">
        <v>1941</v>
      </c>
      <c r="L10" s="3" t="e">
        <f>INDEX(E10, MATCH(K10,A10, 0))</f>
        <v>#N/A</v>
      </c>
      <c r="M10" s="3" t="e">
        <f>INDEX(F10, MATCH(K10,A10, 0))</f>
        <v>#N/A</v>
      </c>
      <c r="N10" s="3" t="e">
        <f>INDEX(G10, MATCH(K10,A10, 0))</f>
        <v>#N/A</v>
      </c>
      <c r="O10" s="3" t="e">
        <f>IF(ISBLANK(L10),"Stable",IF(E10&gt;L10*1.25,"Rising",IF(E10&lt;L10*0.8,"Falling","Stable")))</f>
        <v>#N/A</v>
      </c>
      <c r="P10" s="3" t="e">
        <f>IF(ISBLANK(M10),"Stable",IF((F10+G10)&lt;(M10+N10)*0.85,"Falling",IF((F10+G10)&gt;(M10+N10)*1.15,"Rising","Stable")))</f>
        <v>#N/A</v>
      </c>
      <c r="Q10" s="3" t="e">
        <f>IF(AND(O10="Rising",P10="Falling"),TRUE(),FALSE())</f>
        <v>#N/A</v>
      </c>
      <c r="R10" s="3" t="b">
        <f>IF(H10&gt;=0.5,TRUE(),FALSE())</f>
        <v>1</v>
      </c>
      <c r="S10" s="3" t="b">
        <f>IF(H10&gt;=3.0,TRUE(),FALSE())</f>
        <v>1</v>
      </c>
      <c r="T10" s="3">
        <f>IF(OR(S10,J10),8,IF(R10,4,0))</f>
        <v>8</v>
      </c>
      <c r="U10" s="3" t="e">
        <f>IF(AND(P10="Falling",O10="Rising"),4,IF(OR(P10="Falling",O10="Rising"),2,0))</f>
        <v>#N/A</v>
      </c>
      <c r="V10" s="3" t="e">
        <f>T10+U10</f>
        <v>#N/A</v>
      </c>
      <c r="W10" s="3" t="str">
        <f>IF(OR(S10,J10),"BiopsyIndicated",IF(H10&gt;=1.0,"RenalFlareRisk",IF(R10,"EarlyNephritis",IF(AND(O10="Rising",P10="Falling"),"SerologicActive","PresymptomaticAutoimmunity"))))</f>
        <v>BiopsyIndicated</v>
      </c>
      <c r="X10" s="3">
        <f>IF(W10="BiopsyIndicated",5,IF(W10="RenalFlareRisk",4,IF(W10="EarlyNephritis",3,IF(W10="SerologicActive",2,1))))</f>
        <v>5</v>
      </c>
      <c r="Y10" s="3" t="str">
        <f>A10</f>
        <v>sero-ind-d-santos-3</v>
      </c>
      <c r="Z10" s="3" t="str">
        <f>"/admin/serology/" &amp; A10</f>
        <v>/admin/serology/sero-ind-d-santos-3</v>
      </c>
    </row>
    <row r="11">
      <c r="A11" s="2" t="s">
        <v>1943</v>
      </c>
      <c r="B11" s="2" t="s">
        <v>163</v>
      </c>
      <c r="C11" s="6">
        <v>45870</v>
      </c>
      <c r="D11" s="2">
        <v>1</v>
      </c>
      <c r="E11" s="2">
        <v>25</v>
      </c>
      <c r="F11" s="2">
        <v>125</v>
      </c>
      <c r="G11" s="2">
        <v>26</v>
      </c>
      <c r="H11" s="2">
        <v>0.05</v>
      </c>
      <c r="I11" s="2">
        <v>100</v>
      </c>
      <c r="J11" s="2" t="b">
        <v>0</v>
      </c>
      <c r="K11" s="2"/>
      <c r="L11" s="3" t="e">
        <f>INDEX(E11, MATCH(K11,A11, 0))</f>
        <v>#N/A</v>
      </c>
      <c r="M11" s="3" t="e">
        <f>INDEX(F11, MATCH(K11,A11, 0))</f>
        <v>#N/A</v>
      </c>
      <c r="N11" s="3" t="e">
        <f>INDEX(G11, MATCH(K11,A11, 0))</f>
        <v>#N/A</v>
      </c>
      <c r="O11" s="3" t="e">
        <f>IF(ISBLANK(L11),"Stable",IF(E11&gt;L11*1.25,"Rising",IF(E11&lt;L11*0.8,"Falling","Stable")))</f>
        <v>#N/A</v>
      </c>
      <c r="P11" s="3" t="e">
        <f>IF(ISBLANK(M11),"Stable",IF((F11+G11)&lt;(M11+N11)*0.85,"Falling",IF((F11+G11)&gt;(M11+N11)*1.15,"Rising","Stable")))</f>
        <v>#N/A</v>
      </c>
      <c r="Q11" s="3" t="e">
        <f>IF(AND(O11="Rising",P11="Falling"),TRUE(),FALSE())</f>
        <v>#N/A</v>
      </c>
      <c r="R11" s="3" t="b">
        <f>IF(H11&gt;=0.5,TRUE(),FALSE())</f>
        <v>0</v>
      </c>
      <c r="S11" s="3" t="b">
        <f>IF(H11&gt;=3.0,TRUE(),FALSE())</f>
        <v>0</v>
      </c>
      <c r="T11" s="3">
        <f>IF(OR(S11,J11),8,IF(R11,4,0))</f>
        <v>0</v>
      </c>
      <c r="U11" s="3" t="e">
        <f>IF(AND(P11="Falling",O11="Rising"),4,IF(OR(P11="Falling",O11="Rising"),2,0))</f>
        <v>#N/A</v>
      </c>
      <c r="V11" s="3" t="e">
        <f>T11+U11</f>
        <v>#N/A</v>
      </c>
      <c r="W11" s="3" t="e">
        <f>IF(OR(S11,J11),"BiopsyIndicated",IF(H11&gt;=1.0,"RenalFlareRisk",IF(R11,"EarlyNephritis",IF(AND(O11="Rising",P11="Falling"),"SerologicActive","PresymptomaticAutoimmunity"))))</f>
        <v>#N/A</v>
      </c>
      <c r="X11" s="3" t="e">
        <f>IF(W11="BiopsyIndicated",5,IF(W11="RenalFlareRisk",4,IF(W11="EarlyNephritis",3,IF(W11="SerologicActive",2,1))))</f>
        <v>#N/A</v>
      </c>
      <c r="Y11" s="3" t="str">
        <f>A11</f>
        <v>sero-ind-e-mensah-1</v>
      </c>
      <c r="Z11" s="3" t="str">
        <f>"/admin/serology/" &amp; A11</f>
        <v>/admin/serology/sero-ind-e-mensah-1</v>
      </c>
    </row>
    <row r="12">
      <c r="A12" s="2" t="s">
        <v>1944</v>
      </c>
      <c r="B12" s="2" t="s">
        <v>163</v>
      </c>
      <c r="C12" s="6">
        <v>45962</v>
      </c>
      <c r="D12" s="2">
        <v>2</v>
      </c>
      <c r="E12" s="2">
        <v>24</v>
      </c>
      <c r="F12" s="2">
        <v>124</v>
      </c>
      <c r="G12" s="2">
        <v>27</v>
      </c>
      <c r="H12" s="2">
        <v>0.04</v>
      </c>
      <c r="I12" s="2">
        <v>101</v>
      </c>
      <c r="J12" s="2" t="b">
        <v>0</v>
      </c>
      <c r="K12" s="2" t="s">
        <v>1943</v>
      </c>
      <c r="L12" s="3" t="e">
        <f>INDEX(E12, MATCH(K12,A12, 0))</f>
        <v>#N/A</v>
      </c>
      <c r="M12" s="3" t="e">
        <f>INDEX(F12, MATCH(K12,A12, 0))</f>
        <v>#N/A</v>
      </c>
      <c r="N12" s="3" t="e">
        <f>INDEX(G12, MATCH(K12,A12, 0))</f>
        <v>#N/A</v>
      </c>
      <c r="O12" s="3" t="e">
        <f>IF(ISBLANK(L12),"Stable",IF(E12&gt;L12*1.25,"Rising",IF(E12&lt;L12*0.8,"Falling","Stable")))</f>
        <v>#N/A</v>
      </c>
      <c r="P12" s="3" t="e">
        <f>IF(ISBLANK(M12),"Stable",IF((F12+G12)&lt;(M12+N12)*0.85,"Falling",IF((F12+G12)&gt;(M12+N12)*1.15,"Rising","Stable")))</f>
        <v>#N/A</v>
      </c>
      <c r="Q12" s="3" t="e">
        <f>IF(AND(O12="Rising",P12="Falling"),TRUE(),FALSE())</f>
        <v>#N/A</v>
      </c>
      <c r="R12" s="3" t="b">
        <f>IF(H12&gt;=0.5,TRUE(),FALSE())</f>
        <v>0</v>
      </c>
      <c r="S12" s="3" t="b">
        <f>IF(H12&gt;=3.0,TRUE(),FALSE())</f>
        <v>0</v>
      </c>
      <c r="T12" s="3">
        <f>IF(OR(S12,J12),8,IF(R12,4,0))</f>
        <v>0</v>
      </c>
      <c r="U12" s="3" t="e">
        <f>IF(AND(P12="Falling",O12="Rising"),4,IF(OR(P12="Falling",O12="Rising"),2,0))</f>
        <v>#N/A</v>
      </c>
      <c r="V12" s="3" t="e">
        <f>T12+U12</f>
        <v>#N/A</v>
      </c>
      <c r="W12" s="3" t="e">
        <f>IF(OR(S12,J12),"BiopsyIndicated",IF(H12&gt;=1.0,"RenalFlareRisk",IF(R12,"EarlyNephritis",IF(AND(O12="Rising",P12="Falling"),"SerologicActive","PresymptomaticAutoimmunity"))))</f>
        <v>#N/A</v>
      </c>
      <c r="X12" s="3" t="e">
        <f>IF(W12="BiopsyIndicated",5,IF(W12="RenalFlareRisk",4,IF(W12="EarlyNephritis",3,IF(W12="SerologicActive",2,1))))</f>
        <v>#N/A</v>
      </c>
      <c r="Y12" s="3" t="str">
        <f>A12</f>
        <v>sero-ind-e-mensah-2</v>
      </c>
      <c r="Z12" s="3" t="str">
        <f>"/admin/serology/" &amp; A12</f>
        <v>/admin/serology/sero-ind-e-mensah-2</v>
      </c>
    </row>
    <row r="13">
      <c r="A13" s="2" t="s">
        <v>1945</v>
      </c>
      <c r="B13" s="2" t="s">
        <v>168</v>
      </c>
      <c r="C13" s="6">
        <v>45910</v>
      </c>
      <c r="D13" s="2">
        <v>1</v>
      </c>
      <c r="E13" s="2">
        <v>20</v>
      </c>
      <c r="F13" s="2">
        <v>130</v>
      </c>
      <c r="G13" s="2">
        <v>28</v>
      </c>
      <c r="H13" s="2">
        <v>0</v>
      </c>
      <c r="I13" s="2">
        <v>100</v>
      </c>
      <c r="J13" s="2" t="b">
        <v>0</v>
      </c>
      <c r="K13" s="2"/>
      <c r="L13" s="3" t="e">
        <f>INDEX(E13, MATCH(K13,A13, 0))</f>
        <v>#N/A</v>
      </c>
      <c r="M13" s="3" t="e">
        <f>INDEX(F13, MATCH(K13,A13, 0))</f>
        <v>#N/A</v>
      </c>
      <c r="N13" s="3" t="e">
        <f>INDEX(G13, MATCH(K13,A13, 0))</f>
        <v>#N/A</v>
      </c>
      <c r="O13" s="3" t="e">
        <f>IF(ISBLANK(L13),"Stable",IF(E13&gt;L13*1.25,"Rising",IF(E13&lt;L13*0.8,"Falling","Stable")))</f>
        <v>#N/A</v>
      </c>
      <c r="P13" s="3" t="e">
        <f>IF(ISBLANK(M13),"Stable",IF((F13+G13)&lt;(M13+N13)*0.85,"Falling",IF((F13+G13)&gt;(M13+N13)*1.15,"Rising","Stable")))</f>
        <v>#N/A</v>
      </c>
      <c r="Q13" s="3" t="e">
        <f>IF(AND(O13="Rising",P13="Falling"),TRUE(),FALSE())</f>
        <v>#N/A</v>
      </c>
      <c r="R13" s="3" t="b">
        <f>IF(H13&gt;=0.5,TRUE(),FALSE())</f>
        <v>0</v>
      </c>
      <c r="S13" s="3" t="b">
        <f>IF(H13&gt;=3.0,TRUE(),FALSE())</f>
        <v>0</v>
      </c>
      <c r="T13" s="3">
        <f>IF(OR(S13,J13),8,IF(R13,4,0))</f>
        <v>0</v>
      </c>
      <c r="U13" s="3" t="e">
        <f>IF(AND(P13="Falling",O13="Rising"),4,IF(OR(P13="Falling",O13="Rising"),2,0))</f>
        <v>#N/A</v>
      </c>
      <c r="V13" s="3" t="e">
        <f>T13+U13</f>
        <v>#N/A</v>
      </c>
      <c r="W13" s="3" t="e">
        <f>IF(OR(S13,J13),"BiopsyIndicated",IF(H13&gt;=1.0,"RenalFlareRisk",IF(R13,"EarlyNephritis",IF(AND(O13="Rising",P13="Falling"),"SerologicActive","PresymptomaticAutoimmunity"))))</f>
        <v>#N/A</v>
      </c>
      <c r="X13" s="3" t="e">
        <f>IF(W13="BiopsyIndicated",5,IF(W13="RenalFlareRisk",4,IF(W13="EarlyNephritis",3,IF(W13="SerologicActive",2,1))))</f>
        <v>#N/A</v>
      </c>
      <c r="Y13" s="3" t="str">
        <f>A13</f>
        <v>sero-ind-f-haidar-1</v>
      </c>
      <c r="Z13" s="3" t="str">
        <f>"/admin/serology/" &amp; A13</f>
        <v>/admin/serology/sero-ind-f-haidar-1</v>
      </c>
    </row>
    <row r="14">
      <c r="A14" s="2" t="s">
        <v>1946</v>
      </c>
      <c r="B14" s="2" t="s">
        <v>168</v>
      </c>
      <c r="C14" s="6">
        <v>46001</v>
      </c>
      <c r="D14" s="2">
        <v>2</v>
      </c>
      <c r="E14" s="2">
        <v>22</v>
      </c>
      <c r="F14" s="2">
        <v>128</v>
      </c>
      <c r="G14" s="2">
        <v>27</v>
      </c>
      <c r="H14" s="2">
        <v>0</v>
      </c>
      <c r="I14" s="2">
        <v>99</v>
      </c>
      <c r="J14" s="2" t="b">
        <v>0</v>
      </c>
      <c r="K14" s="2" t="s">
        <v>1945</v>
      </c>
      <c r="L14" s="3" t="e">
        <f>INDEX(E14, MATCH(K14,A14, 0))</f>
        <v>#N/A</v>
      </c>
      <c r="M14" s="3" t="e">
        <f>INDEX(F14, MATCH(K14,A14, 0))</f>
        <v>#N/A</v>
      </c>
      <c r="N14" s="3" t="e">
        <f>INDEX(G14, MATCH(K14,A14, 0))</f>
        <v>#N/A</v>
      </c>
      <c r="O14" s="3" t="e">
        <f>IF(ISBLANK(L14),"Stable",IF(E14&gt;L14*1.25,"Rising",IF(E14&lt;L14*0.8,"Falling","Stable")))</f>
        <v>#N/A</v>
      </c>
      <c r="P14" s="3" t="e">
        <f>IF(ISBLANK(M14),"Stable",IF((F14+G14)&lt;(M14+N14)*0.85,"Falling",IF((F14+G14)&gt;(M14+N14)*1.15,"Rising","Stable")))</f>
        <v>#N/A</v>
      </c>
      <c r="Q14" s="3" t="e">
        <f>IF(AND(O14="Rising",P14="Falling"),TRUE(),FALSE())</f>
        <v>#N/A</v>
      </c>
      <c r="R14" s="3" t="b">
        <f>IF(H14&gt;=0.5,TRUE(),FALSE())</f>
        <v>0</v>
      </c>
      <c r="S14" s="3" t="b">
        <f>IF(H14&gt;=3.0,TRUE(),FALSE())</f>
        <v>0</v>
      </c>
      <c r="T14" s="3">
        <f>IF(OR(S14,J14),8,IF(R14,4,0))</f>
        <v>0</v>
      </c>
      <c r="U14" s="3" t="e">
        <f>IF(AND(P14="Falling",O14="Rising"),4,IF(OR(P14="Falling",O14="Rising"),2,0))</f>
        <v>#N/A</v>
      </c>
      <c r="V14" s="3" t="e">
        <f>T14+U14</f>
        <v>#N/A</v>
      </c>
      <c r="W14" s="3" t="e">
        <f>IF(OR(S14,J14),"BiopsyIndicated",IF(H14&gt;=1.0,"RenalFlareRisk",IF(R14,"EarlyNephritis",IF(AND(O14="Rising",P14="Falling"),"SerologicActive","PresymptomaticAutoimmunity"))))</f>
        <v>#N/A</v>
      </c>
      <c r="X14" s="3" t="e">
        <f>IF(W14="BiopsyIndicated",5,IF(W14="RenalFlareRisk",4,IF(W14="EarlyNephritis",3,IF(W14="SerologicActive",2,1))))</f>
        <v>#N/A</v>
      </c>
      <c r="Y14" s="3" t="str">
        <f>A14</f>
        <v>sero-ind-f-haidar-2</v>
      </c>
      <c r="Z14" s="3" t="str">
        <f>"/admin/serology/" &amp; A14</f>
        <v>/admin/serology/sero-ind-f-haidar-2</v>
      </c>
    </row>
    <row r="15">
      <c r="A15" s="2" t="s">
        <v>1947</v>
      </c>
      <c r="B15" s="2" t="s">
        <v>173</v>
      </c>
      <c r="C15" s="6">
        <v>45905</v>
      </c>
      <c r="D15" s="2">
        <v>1</v>
      </c>
      <c r="E15" s="2">
        <v>18</v>
      </c>
      <c r="F15" s="2">
        <v>132</v>
      </c>
      <c r="G15" s="2">
        <v>29</v>
      </c>
      <c r="H15" s="2">
        <v>0</v>
      </c>
      <c r="I15" s="2">
        <v>100</v>
      </c>
      <c r="J15" s="2" t="b">
        <v>0</v>
      </c>
      <c r="K15" s="2"/>
      <c r="L15" s="3" t="e">
        <f>INDEX(E15, MATCH(K15,A15, 0))</f>
        <v>#N/A</v>
      </c>
      <c r="M15" s="3" t="e">
        <f>INDEX(F15, MATCH(K15,A15, 0))</f>
        <v>#N/A</v>
      </c>
      <c r="N15" s="3" t="e">
        <f>INDEX(G15, MATCH(K15,A15, 0))</f>
        <v>#N/A</v>
      </c>
      <c r="O15" s="3" t="e">
        <f>IF(ISBLANK(L15),"Stable",IF(E15&gt;L15*1.25,"Rising",IF(E15&lt;L15*0.8,"Falling","Stable")))</f>
        <v>#N/A</v>
      </c>
      <c r="P15" s="3" t="e">
        <f>IF(ISBLANK(M15),"Stable",IF((F15+G15)&lt;(M15+N15)*0.85,"Falling",IF((F15+G15)&gt;(M15+N15)*1.15,"Rising","Stable")))</f>
        <v>#N/A</v>
      </c>
      <c r="Q15" s="3" t="e">
        <f>IF(AND(O15="Rising",P15="Falling"),TRUE(),FALSE())</f>
        <v>#N/A</v>
      </c>
      <c r="R15" s="3" t="b">
        <f>IF(H15&gt;=0.5,TRUE(),FALSE())</f>
        <v>0</v>
      </c>
      <c r="S15" s="3" t="b">
        <f>IF(H15&gt;=3.0,TRUE(),FALSE())</f>
        <v>0</v>
      </c>
      <c r="T15" s="3">
        <f>IF(OR(S15,J15),8,IF(R15,4,0))</f>
        <v>0</v>
      </c>
      <c r="U15" s="3" t="e">
        <f>IF(AND(P15="Falling",O15="Rising"),4,IF(OR(P15="Falling",O15="Rising"),2,0))</f>
        <v>#N/A</v>
      </c>
      <c r="V15" s="3" t="e">
        <f>T15+U15</f>
        <v>#N/A</v>
      </c>
      <c r="W15" s="3" t="e">
        <f>IF(OR(S15,J15),"BiopsyIndicated",IF(H15&gt;=1.0,"RenalFlareRisk",IF(R15,"EarlyNephritis",IF(AND(O15="Rising",P15="Falling"),"SerologicActive","PresymptomaticAutoimmunity"))))</f>
        <v>#N/A</v>
      </c>
      <c r="X15" s="3" t="e">
        <f>IF(W15="BiopsyIndicated",5,IF(W15="RenalFlareRisk",4,IF(W15="EarlyNephritis",3,IF(W15="SerologicActive",2,1))))</f>
        <v>#N/A</v>
      </c>
      <c r="Y15" s="3" t="str">
        <f>A15</f>
        <v>sero-ind-g-lin-1</v>
      </c>
      <c r="Z15" s="3" t="str">
        <f>"/admin/serology/" &amp; A15</f>
        <v>/admin/serology/sero-ind-g-lin-1</v>
      </c>
    </row>
    <row r="16">
      <c r="A16" s="2" t="s">
        <v>1948</v>
      </c>
      <c r="B16" s="2" t="s">
        <v>173</v>
      </c>
      <c r="C16" s="6">
        <v>45996</v>
      </c>
      <c r="D16" s="2">
        <v>2</v>
      </c>
      <c r="E16" s="2">
        <v>19</v>
      </c>
      <c r="F16" s="2">
        <v>131</v>
      </c>
      <c r="G16" s="2">
        <v>28</v>
      </c>
      <c r="H16" s="2">
        <v>0</v>
      </c>
      <c r="I16" s="2">
        <v>100</v>
      </c>
      <c r="J16" s="2" t="b">
        <v>0</v>
      </c>
      <c r="K16" s="2" t="s">
        <v>1947</v>
      </c>
      <c r="L16" s="3" t="e">
        <f>INDEX(E16, MATCH(K16,A16, 0))</f>
        <v>#N/A</v>
      </c>
      <c r="M16" s="3" t="e">
        <f>INDEX(F16, MATCH(K16,A16, 0))</f>
        <v>#N/A</v>
      </c>
      <c r="N16" s="3" t="e">
        <f>INDEX(G16, MATCH(K16,A16, 0))</f>
        <v>#N/A</v>
      </c>
      <c r="O16" s="3" t="e">
        <f>IF(ISBLANK(L16),"Stable",IF(E16&gt;L16*1.25,"Rising",IF(E16&lt;L16*0.8,"Falling","Stable")))</f>
        <v>#N/A</v>
      </c>
      <c r="P16" s="3" t="e">
        <f>IF(ISBLANK(M16),"Stable",IF((F16+G16)&lt;(M16+N16)*0.85,"Falling",IF((F16+G16)&gt;(M16+N16)*1.15,"Rising","Stable")))</f>
        <v>#N/A</v>
      </c>
      <c r="Q16" s="3" t="e">
        <f>IF(AND(O16="Rising",P16="Falling"),TRUE(),FALSE())</f>
        <v>#N/A</v>
      </c>
      <c r="R16" s="3" t="b">
        <f>IF(H16&gt;=0.5,TRUE(),FALSE())</f>
        <v>0</v>
      </c>
      <c r="S16" s="3" t="b">
        <f>IF(H16&gt;=3.0,TRUE(),FALSE())</f>
        <v>0</v>
      </c>
      <c r="T16" s="3">
        <f>IF(OR(S16,J16),8,IF(R16,4,0))</f>
        <v>0</v>
      </c>
      <c r="U16" s="3" t="e">
        <f>IF(AND(P16="Falling",O16="Rising"),4,IF(OR(P16="Falling",O16="Rising"),2,0))</f>
        <v>#N/A</v>
      </c>
      <c r="V16" s="3" t="e">
        <f>T16+U16</f>
        <v>#N/A</v>
      </c>
      <c r="W16" s="3" t="e">
        <f>IF(OR(S16,J16),"BiopsyIndicated",IF(H16&gt;=1.0,"RenalFlareRisk",IF(R16,"EarlyNephritis",IF(AND(O16="Rising",P16="Falling"),"SerologicActive","PresymptomaticAutoimmunity"))))</f>
        <v>#N/A</v>
      </c>
      <c r="X16" s="3" t="e">
        <f>IF(W16="BiopsyIndicated",5,IF(W16="RenalFlareRisk",4,IF(W16="EarlyNephritis",3,IF(W16="SerologicActive",2,1))))</f>
        <v>#N/A</v>
      </c>
      <c r="Y16" s="3" t="str">
        <f>A16</f>
        <v>sero-ind-g-lin-2</v>
      </c>
      <c r="Z16" s="3" t="str">
        <f>"/admin/serology/" &amp; A16</f>
        <v>/admin/serology/sero-ind-g-lin-2</v>
      </c>
    </row>
    <row r="17">
      <c r="A17" s="2" t="s">
        <v>1949</v>
      </c>
      <c r="B17" s="2" t="s">
        <v>177</v>
      </c>
      <c r="C17" s="6">
        <v>45858</v>
      </c>
      <c r="D17" s="2">
        <v>1</v>
      </c>
      <c r="E17" s="2">
        <v>55</v>
      </c>
      <c r="F17" s="2">
        <v>98</v>
      </c>
      <c r="G17" s="2">
        <v>19</v>
      </c>
      <c r="H17" s="2">
        <v>0.3</v>
      </c>
      <c r="I17" s="2">
        <v>90</v>
      </c>
      <c r="J17" s="2" t="b">
        <v>0</v>
      </c>
      <c r="K17" s="2"/>
      <c r="L17" s="3" t="e">
        <f>INDEX(E17, MATCH(K17,A17, 0))</f>
        <v>#N/A</v>
      </c>
      <c r="M17" s="3" t="e">
        <f>INDEX(F17, MATCH(K17,A17, 0))</f>
        <v>#N/A</v>
      </c>
      <c r="N17" s="3" t="e">
        <f>INDEX(G17, MATCH(K17,A17, 0))</f>
        <v>#N/A</v>
      </c>
      <c r="O17" s="3" t="e">
        <f>IF(ISBLANK(L17),"Stable",IF(E17&gt;L17*1.25,"Rising",IF(E17&lt;L17*0.8,"Falling","Stable")))</f>
        <v>#N/A</v>
      </c>
      <c r="P17" s="3" t="e">
        <f>IF(ISBLANK(M17),"Stable",IF((F17+G17)&lt;(M17+N17)*0.85,"Falling",IF((F17+G17)&gt;(M17+N17)*1.15,"Rising","Stable")))</f>
        <v>#N/A</v>
      </c>
      <c r="Q17" s="3" t="e">
        <f>IF(AND(O17="Rising",P17="Falling"),TRUE(),FALSE())</f>
        <v>#N/A</v>
      </c>
      <c r="R17" s="3" t="b">
        <f>IF(H17&gt;=0.5,TRUE(),FALSE())</f>
        <v>0</v>
      </c>
      <c r="S17" s="3" t="b">
        <f>IF(H17&gt;=3.0,TRUE(),FALSE())</f>
        <v>0</v>
      </c>
      <c r="T17" s="3">
        <f>IF(OR(S17,J17),8,IF(R17,4,0))</f>
        <v>0</v>
      </c>
      <c r="U17" s="3" t="e">
        <f>IF(AND(P17="Falling",O17="Rising"),4,IF(OR(P17="Falling",O17="Rising"),2,0))</f>
        <v>#N/A</v>
      </c>
      <c r="V17" s="3" t="e">
        <f>T17+U17</f>
        <v>#N/A</v>
      </c>
      <c r="W17" s="3" t="e">
        <f>IF(OR(S17,J17),"BiopsyIndicated",IF(H17&gt;=1.0,"RenalFlareRisk",IF(R17,"EarlyNephritis",IF(AND(O17="Rising",P17="Falling"),"SerologicActive","PresymptomaticAutoimmunity"))))</f>
        <v>#N/A</v>
      </c>
      <c r="X17" s="3" t="e">
        <f>IF(W17="BiopsyIndicated",5,IF(W17="RenalFlareRisk",4,IF(W17="EarlyNephritis",3,IF(W17="SerologicActive",2,1))))</f>
        <v>#N/A</v>
      </c>
      <c r="Y17" s="3" t="str">
        <f>A17</f>
        <v>sero-ind-h-yamamoto-1</v>
      </c>
      <c r="Z17" s="3" t="str">
        <f>"/admin/serology/" &amp; A17</f>
        <v>/admin/serology/sero-ind-h-yamamoto-1</v>
      </c>
    </row>
    <row r="18">
      <c r="A18" s="2" t="s">
        <v>1950</v>
      </c>
      <c r="B18" s="2" t="s">
        <v>177</v>
      </c>
      <c r="C18" s="6">
        <v>45950</v>
      </c>
      <c r="D18" s="2">
        <v>2</v>
      </c>
      <c r="E18" s="2">
        <v>110</v>
      </c>
      <c r="F18" s="2">
        <v>72</v>
      </c>
      <c r="G18" s="2">
        <v>11</v>
      </c>
      <c r="H18" s="2">
        <v>0.7</v>
      </c>
      <c r="I18" s="2">
        <v>85</v>
      </c>
      <c r="J18" s="2" t="b">
        <v>0</v>
      </c>
      <c r="K18" s="2" t="s">
        <v>1949</v>
      </c>
      <c r="L18" s="3" t="e">
        <f>INDEX(E18, MATCH(K18,A18, 0))</f>
        <v>#N/A</v>
      </c>
      <c r="M18" s="3" t="e">
        <f>INDEX(F18, MATCH(K18,A18, 0))</f>
        <v>#N/A</v>
      </c>
      <c r="N18" s="3" t="e">
        <f>INDEX(G18, MATCH(K18,A18, 0))</f>
        <v>#N/A</v>
      </c>
      <c r="O18" s="3" t="e">
        <f>IF(ISBLANK(L18),"Stable",IF(E18&gt;L18*1.25,"Rising",IF(E18&lt;L18*0.8,"Falling","Stable")))</f>
        <v>#N/A</v>
      </c>
      <c r="P18" s="3" t="e">
        <f>IF(ISBLANK(M18),"Stable",IF((F18+G18)&lt;(M18+N18)*0.85,"Falling",IF((F18+G18)&gt;(M18+N18)*1.15,"Rising","Stable")))</f>
        <v>#N/A</v>
      </c>
      <c r="Q18" s="3" t="e">
        <f>IF(AND(O18="Rising",P18="Falling"),TRUE(),FALSE())</f>
        <v>#N/A</v>
      </c>
      <c r="R18" s="3" t="b">
        <f>IF(H18&gt;=0.5,TRUE(),FALSE())</f>
        <v>1</v>
      </c>
      <c r="S18" s="3" t="b">
        <f>IF(H18&gt;=3.0,TRUE(),FALSE())</f>
        <v>0</v>
      </c>
      <c r="T18" s="3">
        <f>IF(OR(S18,J18),8,IF(R18,4,0))</f>
        <v>4</v>
      </c>
      <c r="U18" s="3" t="e">
        <f>IF(AND(P18="Falling",O18="Rising"),4,IF(OR(P18="Falling",O18="Rising"),2,0))</f>
        <v>#N/A</v>
      </c>
      <c r="V18" s="3" t="e">
        <f>T18+U18</f>
        <v>#N/A</v>
      </c>
      <c r="W18" s="3" t="str">
        <f>IF(OR(S18,J18),"BiopsyIndicated",IF(H18&gt;=1.0,"RenalFlareRisk",IF(R18,"EarlyNephritis",IF(AND(O18="Rising",P18="Falling"),"SerologicActive","PresymptomaticAutoimmunity"))))</f>
        <v>EarlyNephritis</v>
      </c>
      <c r="X18" s="3">
        <f>IF(W18="BiopsyIndicated",5,IF(W18="RenalFlareRisk",4,IF(W18="EarlyNephritis",3,IF(W18="SerologicActive",2,1))))</f>
        <v>3</v>
      </c>
      <c r="Y18" s="3" t="str">
        <f>A18</f>
        <v>sero-ind-h-yamamoto-2</v>
      </c>
      <c r="Z18" s="3" t="str">
        <f>"/admin/serology/" &amp; A18</f>
        <v>/admin/serology/sero-ind-h-yamamoto-2</v>
      </c>
    </row>
    <row r="19">
      <c r="A19" s="2" t="s">
        <v>1951</v>
      </c>
      <c r="B19" s="2" t="s">
        <v>181</v>
      </c>
      <c r="C19" s="6">
        <v>45823</v>
      </c>
      <c r="D19" s="2">
        <v>1</v>
      </c>
      <c r="E19" s="2">
        <v>70</v>
      </c>
      <c r="F19" s="2">
        <v>90</v>
      </c>
      <c r="G19" s="2">
        <v>16</v>
      </c>
      <c r="H19" s="2">
        <v>0.5</v>
      </c>
      <c r="I19" s="2">
        <v>84</v>
      </c>
      <c r="J19" s="2" t="b">
        <v>0</v>
      </c>
      <c r="K19" s="2"/>
      <c r="L19" s="3" t="e">
        <f>INDEX(E19, MATCH(K19,A19, 0))</f>
        <v>#N/A</v>
      </c>
      <c r="M19" s="3" t="e">
        <f>INDEX(F19, MATCH(K19,A19, 0))</f>
        <v>#N/A</v>
      </c>
      <c r="N19" s="3" t="e">
        <f>INDEX(G19, MATCH(K19,A19, 0))</f>
        <v>#N/A</v>
      </c>
      <c r="O19" s="3" t="e">
        <f>IF(ISBLANK(L19),"Stable",IF(E19&gt;L19*1.25,"Rising",IF(E19&lt;L19*0.8,"Falling","Stable")))</f>
        <v>#N/A</v>
      </c>
      <c r="P19" s="3" t="e">
        <f>IF(ISBLANK(M19),"Stable",IF((F19+G19)&lt;(M19+N19)*0.85,"Falling",IF((F19+G19)&gt;(M19+N19)*1.15,"Rising","Stable")))</f>
        <v>#N/A</v>
      </c>
      <c r="Q19" s="3" t="e">
        <f>IF(AND(O19="Rising",P19="Falling"),TRUE(),FALSE())</f>
        <v>#N/A</v>
      </c>
      <c r="R19" s="3" t="b">
        <f>IF(H19&gt;=0.5,TRUE(),FALSE())</f>
        <v>1</v>
      </c>
      <c r="S19" s="3" t="b">
        <f>IF(H19&gt;=3.0,TRUE(),FALSE())</f>
        <v>0</v>
      </c>
      <c r="T19" s="3">
        <f>IF(OR(S19,J19),8,IF(R19,4,0))</f>
        <v>4</v>
      </c>
      <c r="U19" s="3" t="e">
        <f>IF(AND(P19="Falling",O19="Rising"),4,IF(OR(P19="Falling",O19="Rising"),2,0))</f>
        <v>#N/A</v>
      </c>
      <c r="V19" s="3" t="e">
        <f>T19+U19</f>
        <v>#N/A</v>
      </c>
      <c r="W19" s="3" t="str">
        <f>IF(OR(S19,J19),"BiopsyIndicated",IF(H19&gt;=1.0,"RenalFlareRisk",IF(R19,"EarlyNephritis",IF(AND(O19="Rising",P19="Falling"),"SerologicActive","PresymptomaticAutoimmunity"))))</f>
        <v>EarlyNephritis</v>
      </c>
      <c r="X19" s="3">
        <f>IF(W19="BiopsyIndicated",5,IF(W19="RenalFlareRisk",4,IF(W19="EarlyNephritis",3,IF(W19="SerologicActive",2,1))))</f>
        <v>3</v>
      </c>
      <c r="Y19" s="3" t="str">
        <f>A19</f>
        <v>sero-ind-i-conteh-1</v>
      </c>
      <c r="Z19" s="3" t="str">
        <f>"/admin/serology/" &amp; A19</f>
        <v>/admin/serology/sero-ind-i-conteh-1</v>
      </c>
    </row>
    <row r="20">
      <c r="A20" s="2" t="s">
        <v>1952</v>
      </c>
      <c r="B20" s="2" t="s">
        <v>181</v>
      </c>
      <c r="C20" s="6">
        <v>45915</v>
      </c>
      <c r="D20" s="2">
        <v>2</v>
      </c>
      <c r="E20" s="2">
        <v>150</v>
      </c>
      <c r="F20" s="2">
        <v>55</v>
      </c>
      <c r="G20" s="2">
        <v>8</v>
      </c>
      <c r="H20" s="2">
        <v>1.5</v>
      </c>
      <c r="I20" s="2">
        <v>76</v>
      </c>
      <c r="J20" s="2" t="b">
        <v>0</v>
      </c>
      <c r="K20" s="2" t="s">
        <v>1951</v>
      </c>
      <c r="L20" s="3" t="e">
        <f>INDEX(E20, MATCH(K20,A20, 0))</f>
        <v>#N/A</v>
      </c>
      <c r="M20" s="3" t="e">
        <f>INDEX(F20, MATCH(K20,A20, 0))</f>
        <v>#N/A</v>
      </c>
      <c r="N20" s="3" t="e">
        <f>INDEX(G20, MATCH(K20,A20, 0))</f>
        <v>#N/A</v>
      </c>
      <c r="O20" s="3" t="e">
        <f>IF(ISBLANK(L20),"Stable",IF(E20&gt;L20*1.25,"Rising",IF(E20&lt;L20*0.8,"Falling","Stable")))</f>
        <v>#N/A</v>
      </c>
      <c r="P20" s="3" t="e">
        <f>IF(ISBLANK(M20),"Stable",IF((F20+G20)&lt;(M20+N20)*0.85,"Falling",IF((F20+G20)&gt;(M20+N20)*1.15,"Rising","Stable")))</f>
        <v>#N/A</v>
      </c>
      <c r="Q20" s="3" t="e">
        <f>IF(AND(O20="Rising",P20="Falling"),TRUE(),FALSE())</f>
        <v>#N/A</v>
      </c>
      <c r="R20" s="3" t="b">
        <f>IF(H20&gt;=0.5,TRUE(),FALSE())</f>
        <v>1</v>
      </c>
      <c r="S20" s="3" t="b">
        <f>IF(H20&gt;=3.0,TRUE(),FALSE())</f>
        <v>0</v>
      </c>
      <c r="T20" s="3">
        <f>IF(OR(S20,J20),8,IF(R20,4,0))</f>
        <v>4</v>
      </c>
      <c r="U20" s="3" t="e">
        <f>IF(AND(P20="Falling",O20="Rising"),4,IF(OR(P20="Falling",O20="Rising"),2,0))</f>
        <v>#N/A</v>
      </c>
      <c r="V20" s="3" t="e">
        <f>T20+U20</f>
        <v>#N/A</v>
      </c>
      <c r="W20" s="3" t="str">
        <f>IF(OR(S20,J20),"BiopsyIndicated",IF(H20&gt;=1.0,"RenalFlareRisk",IF(R20,"EarlyNephritis",IF(AND(O20="Rising",P20="Falling"),"SerologicActive","PresymptomaticAutoimmunity"))))</f>
        <v>RenalFlareRisk</v>
      </c>
      <c r="X20" s="3">
        <f>IF(W20="BiopsyIndicated",5,IF(W20="RenalFlareRisk",4,IF(W20="EarlyNephritis",3,IF(W20="SerologicActive",2,1))))</f>
        <v>4</v>
      </c>
      <c r="Y20" s="3" t="str">
        <f>A20</f>
        <v>sero-ind-i-conteh-2</v>
      </c>
      <c r="Z20" s="3" t="str">
        <f>"/admin/serology/" &amp; A20</f>
        <v>/admin/serology/sero-ind-i-conteh-2</v>
      </c>
    </row>
    <row r="21">
      <c r="A21" s="2" t="s">
        <v>1953</v>
      </c>
      <c r="B21" s="2" t="s">
        <v>185</v>
      </c>
      <c r="C21" s="6">
        <v>45870</v>
      </c>
      <c r="D21" s="2">
        <v>1</v>
      </c>
      <c r="E21" s="2">
        <v>48</v>
      </c>
      <c r="F21" s="2">
        <v>100</v>
      </c>
      <c r="G21" s="2">
        <v>20</v>
      </c>
      <c r="H21" s="2">
        <v>0.2</v>
      </c>
      <c r="I21" s="2">
        <v>92</v>
      </c>
      <c r="J21" s="2" t="b">
        <v>0</v>
      </c>
      <c r="K21" s="2"/>
      <c r="L21" s="3" t="e">
        <f>INDEX(E21, MATCH(K21,A21, 0))</f>
        <v>#N/A</v>
      </c>
      <c r="M21" s="3" t="e">
        <f>INDEX(F21, MATCH(K21,A21, 0))</f>
        <v>#N/A</v>
      </c>
      <c r="N21" s="3" t="e">
        <f>INDEX(G21, MATCH(K21,A21, 0))</f>
        <v>#N/A</v>
      </c>
      <c r="O21" s="3" t="e">
        <f>IF(ISBLANK(L21),"Stable",IF(E21&gt;L21*1.25,"Rising",IF(E21&lt;L21*0.8,"Falling","Stable")))</f>
        <v>#N/A</v>
      </c>
      <c r="P21" s="3" t="e">
        <f>IF(ISBLANK(M21),"Stable",IF((F21+G21)&lt;(M21+N21)*0.85,"Falling",IF((F21+G21)&gt;(M21+N21)*1.15,"Rising","Stable")))</f>
        <v>#N/A</v>
      </c>
      <c r="Q21" s="3" t="e">
        <f>IF(AND(O21="Rising",P21="Falling"),TRUE(),FALSE())</f>
        <v>#N/A</v>
      </c>
      <c r="R21" s="3" t="b">
        <f>IF(H21&gt;=0.5,TRUE(),FALSE())</f>
        <v>0</v>
      </c>
      <c r="S21" s="3" t="b">
        <f>IF(H21&gt;=3.0,TRUE(),FALSE())</f>
        <v>0</v>
      </c>
      <c r="T21" s="3">
        <f>IF(OR(S21,J21),8,IF(R21,4,0))</f>
        <v>0</v>
      </c>
      <c r="U21" s="3" t="e">
        <f>IF(AND(P21="Falling",O21="Rising"),4,IF(OR(P21="Falling",O21="Rising"),2,0))</f>
        <v>#N/A</v>
      </c>
      <c r="V21" s="3" t="e">
        <f>T21+U21</f>
        <v>#N/A</v>
      </c>
      <c r="W21" s="3" t="e">
        <f>IF(OR(S21,J21),"BiopsyIndicated",IF(H21&gt;=1.0,"RenalFlareRisk",IF(R21,"EarlyNephritis",IF(AND(O21="Rising",P21="Falling"),"SerologicActive","PresymptomaticAutoimmunity"))))</f>
        <v>#N/A</v>
      </c>
      <c r="X21" s="3" t="e">
        <f>IF(W21="BiopsyIndicated",5,IF(W21="RenalFlareRisk",4,IF(W21="EarlyNephritis",3,IF(W21="SerologicActive",2,1))))</f>
        <v>#N/A</v>
      </c>
      <c r="Y21" s="3" t="str">
        <f>A21</f>
        <v>sero-ind-j-brooks-1</v>
      </c>
      <c r="Z21" s="3" t="str">
        <f>"/admin/serology/" &amp; A21</f>
        <v>/admin/serology/sero-ind-j-brooks-1</v>
      </c>
    </row>
    <row r="22">
      <c r="A22" s="2" t="s">
        <v>1954</v>
      </c>
      <c r="B22" s="2" t="s">
        <v>185</v>
      </c>
      <c r="C22" s="6">
        <v>45962</v>
      </c>
      <c r="D22" s="2">
        <v>2</v>
      </c>
      <c r="E22" s="2">
        <v>115</v>
      </c>
      <c r="F22" s="2">
        <v>70</v>
      </c>
      <c r="G22" s="2">
        <v>10</v>
      </c>
      <c r="H22" s="2">
        <v>0.3</v>
      </c>
      <c r="I22" s="2">
        <v>90</v>
      </c>
      <c r="J22" s="2" t="b">
        <v>0</v>
      </c>
      <c r="K22" s="2" t="s">
        <v>1953</v>
      </c>
      <c r="L22" s="3" t="e">
        <f>INDEX(E22, MATCH(K22,A22, 0))</f>
        <v>#N/A</v>
      </c>
      <c r="M22" s="3" t="e">
        <f>INDEX(F22, MATCH(K22,A22, 0))</f>
        <v>#N/A</v>
      </c>
      <c r="N22" s="3" t="e">
        <f>INDEX(G22, MATCH(K22,A22, 0))</f>
        <v>#N/A</v>
      </c>
      <c r="O22" s="3" t="e">
        <f>IF(ISBLANK(L22),"Stable",IF(E22&gt;L22*1.25,"Rising",IF(E22&lt;L22*0.8,"Falling","Stable")))</f>
        <v>#N/A</v>
      </c>
      <c r="P22" s="3" t="e">
        <f>IF(ISBLANK(M22),"Stable",IF((F22+G22)&lt;(M22+N22)*0.85,"Falling",IF((F22+G22)&gt;(M22+N22)*1.15,"Rising","Stable")))</f>
        <v>#N/A</v>
      </c>
      <c r="Q22" s="3" t="e">
        <f>IF(AND(O22="Rising",P22="Falling"),TRUE(),FALSE())</f>
        <v>#N/A</v>
      </c>
      <c r="R22" s="3" t="b">
        <f>IF(H22&gt;=0.5,TRUE(),FALSE())</f>
        <v>0</v>
      </c>
      <c r="S22" s="3" t="b">
        <f>IF(H22&gt;=3.0,TRUE(),FALSE())</f>
        <v>0</v>
      </c>
      <c r="T22" s="3">
        <f>IF(OR(S22,J22),8,IF(R22,4,0))</f>
        <v>0</v>
      </c>
      <c r="U22" s="3" t="e">
        <f>IF(AND(P22="Falling",O22="Rising"),4,IF(OR(P22="Falling",O22="Rising"),2,0))</f>
        <v>#N/A</v>
      </c>
      <c r="V22" s="3" t="e">
        <f>T22+U22</f>
        <v>#N/A</v>
      </c>
      <c r="W22" s="3" t="e">
        <f>IF(OR(S22,J22),"BiopsyIndicated",IF(H22&gt;=1.0,"RenalFlareRisk",IF(R22,"EarlyNephritis",IF(AND(O22="Rising",P22="Falling"),"SerologicActive","PresymptomaticAutoimmunity"))))</f>
        <v>#N/A</v>
      </c>
      <c r="X22" s="3" t="e">
        <f>IF(W22="BiopsyIndicated",5,IF(W22="RenalFlareRisk",4,IF(W22="EarlyNephritis",3,IF(W22="SerologicActive",2,1))))</f>
        <v>#N/A</v>
      </c>
      <c r="Y22" s="3" t="str">
        <f>A22</f>
        <v>sero-ind-j-brooks-2</v>
      </c>
      <c r="Z22" s="3" t="str">
        <f>"/admin/serology/" &amp; A22</f>
        <v>/admin/serology/sero-ind-j-brooks-2</v>
      </c>
    </row>
    <row r="23">
      <c r="A23" s="2" t="s">
        <v>1955</v>
      </c>
      <c r="B23" s="2" t="s">
        <v>190</v>
      </c>
      <c r="C23" s="6">
        <v>45843</v>
      </c>
      <c r="D23" s="2">
        <v>1</v>
      </c>
      <c r="E23" s="2">
        <v>30</v>
      </c>
      <c r="F23" s="2">
        <v>120</v>
      </c>
      <c r="G23" s="2">
        <v>25</v>
      </c>
      <c r="H23" s="2">
        <v>0.05</v>
      </c>
      <c r="I23" s="2">
        <v>99</v>
      </c>
      <c r="J23" s="2" t="b">
        <v>0</v>
      </c>
      <c r="K23" s="2"/>
      <c r="L23" s="3" t="e">
        <f>INDEX(E23, MATCH(K23,A23, 0))</f>
        <v>#N/A</v>
      </c>
      <c r="M23" s="3" t="e">
        <f>INDEX(F23, MATCH(K23,A23, 0))</f>
        <v>#N/A</v>
      </c>
      <c r="N23" s="3" t="e">
        <f>INDEX(G23, MATCH(K23,A23, 0))</f>
        <v>#N/A</v>
      </c>
      <c r="O23" s="3" t="e">
        <f>IF(ISBLANK(L23),"Stable",IF(E23&gt;L23*1.25,"Rising",IF(E23&lt;L23*0.8,"Falling","Stable")))</f>
        <v>#N/A</v>
      </c>
      <c r="P23" s="3" t="e">
        <f>IF(ISBLANK(M23),"Stable",IF((F23+G23)&lt;(M23+N23)*0.85,"Falling",IF((F23+G23)&gt;(M23+N23)*1.15,"Rising","Stable")))</f>
        <v>#N/A</v>
      </c>
      <c r="Q23" s="3" t="e">
        <f>IF(AND(O23="Rising",P23="Falling"),TRUE(),FALSE())</f>
        <v>#N/A</v>
      </c>
      <c r="R23" s="3" t="b">
        <f>IF(H23&gt;=0.5,TRUE(),FALSE())</f>
        <v>0</v>
      </c>
      <c r="S23" s="3" t="b">
        <f>IF(H23&gt;=3.0,TRUE(),FALSE())</f>
        <v>0</v>
      </c>
      <c r="T23" s="3">
        <f>IF(OR(S23,J23),8,IF(R23,4,0))</f>
        <v>0</v>
      </c>
      <c r="U23" s="3" t="e">
        <f>IF(AND(P23="Falling",O23="Rising"),4,IF(OR(P23="Falling",O23="Rising"),2,0))</f>
        <v>#N/A</v>
      </c>
      <c r="V23" s="3" t="e">
        <f>T23+U23</f>
        <v>#N/A</v>
      </c>
      <c r="W23" s="3" t="e">
        <f>IF(OR(S23,J23),"BiopsyIndicated",IF(H23&gt;=1.0,"RenalFlareRisk",IF(R23,"EarlyNephritis",IF(AND(O23="Rising",P23="Falling"),"SerologicActive","PresymptomaticAutoimmunity"))))</f>
        <v>#N/A</v>
      </c>
      <c r="X23" s="3" t="e">
        <f>IF(W23="BiopsyIndicated",5,IF(W23="RenalFlareRisk",4,IF(W23="EarlyNephritis",3,IF(W23="SerologicActive",2,1))))</f>
        <v>#N/A</v>
      </c>
      <c r="Y23" s="3" t="str">
        <f>A23</f>
        <v>sero-ind-k-nair-1</v>
      </c>
      <c r="Z23" s="3" t="str">
        <f>"/admin/serology/" &amp; A23</f>
        <v>/admin/serology/sero-ind-k-nair-1</v>
      </c>
    </row>
    <row r="24">
      <c r="A24" s="2" t="s">
        <v>1956</v>
      </c>
      <c r="B24" s="2" t="s">
        <v>190</v>
      </c>
      <c r="C24" s="6">
        <v>45935</v>
      </c>
      <c r="D24" s="2">
        <v>2</v>
      </c>
      <c r="E24" s="2">
        <v>33</v>
      </c>
      <c r="F24" s="2">
        <v>118</v>
      </c>
      <c r="G24" s="2">
        <v>24</v>
      </c>
      <c r="H24" s="2">
        <v>0.08</v>
      </c>
      <c r="I24" s="2">
        <v>98</v>
      </c>
      <c r="J24" s="2" t="b">
        <v>0</v>
      </c>
      <c r="K24" s="2" t="s">
        <v>1955</v>
      </c>
      <c r="L24" s="3" t="e">
        <f>INDEX(E24, MATCH(K24,A24, 0))</f>
        <v>#N/A</v>
      </c>
      <c r="M24" s="3" t="e">
        <f>INDEX(F24, MATCH(K24,A24, 0))</f>
        <v>#N/A</v>
      </c>
      <c r="N24" s="3" t="e">
        <f>INDEX(G24, MATCH(K24,A24, 0))</f>
        <v>#N/A</v>
      </c>
      <c r="O24" s="3" t="e">
        <f>IF(ISBLANK(L24),"Stable",IF(E24&gt;L24*1.25,"Rising",IF(E24&lt;L24*0.8,"Falling","Stable")))</f>
        <v>#N/A</v>
      </c>
      <c r="P24" s="3" t="e">
        <f>IF(ISBLANK(M24),"Stable",IF((F24+G24)&lt;(M24+N24)*0.85,"Falling",IF((F24+G24)&gt;(M24+N24)*1.15,"Rising","Stable")))</f>
        <v>#N/A</v>
      </c>
      <c r="Q24" s="3" t="e">
        <f>IF(AND(O24="Rising",P24="Falling"),TRUE(),FALSE())</f>
        <v>#N/A</v>
      </c>
      <c r="R24" s="3" t="b">
        <f>IF(H24&gt;=0.5,TRUE(),FALSE())</f>
        <v>0</v>
      </c>
      <c r="S24" s="3" t="b">
        <f>IF(H24&gt;=3.0,TRUE(),FALSE())</f>
        <v>0</v>
      </c>
      <c r="T24" s="3">
        <f>IF(OR(S24,J24),8,IF(R24,4,0))</f>
        <v>0</v>
      </c>
      <c r="U24" s="3" t="e">
        <f>IF(AND(P24="Falling",O24="Rising"),4,IF(OR(P24="Falling",O24="Rising"),2,0))</f>
        <v>#N/A</v>
      </c>
      <c r="V24" s="3" t="e">
        <f>T24+U24</f>
        <v>#N/A</v>
      </c>
      <c r="W24" s="3" t="e">
        <f>IF(OR(S24,J24),"BiopsyIndicated",IF(H24&gt;=1.0,"RenalFlareRisk",IF(R24,"EarlyNephritis",IF(AND(O24="Rising",P24="Falling"),"SerologicActive","PresymptomaticAutoimmunity"))))</f>
        <v>#N/A</v>
      </c>
      <c r="X24" s="3" t="e">
        <f>IF(W24="BiopsyIndicated",5,IF(W24="RenalFlareRisk",4,IF(W24="EarlyNephritis",3,IF(W24="SerologicActive",2,1))))</f>
        <v>#N/A</v>
      </c>
      <c r="Y24" s="3" t="str">
        <f>A24</f>
        <v>sero-ind-k-nair-2</v>
      </c>
      <c r="Z24" s="3" t="str">
        <f>"/admin/serology/" &amp; A24</f>
        <v>/admin/serology/sero-ind-k-nair-2</v>
      </c>
    </row>
    <row r="25">
      <c r="A25" s="2" t="s">
        <v>1957</v>
      </c>
      <c r="B25" s="2" t="s">
        <v>195</v>
      </c>
      <c r="C25" s="6">
        <v>45905</v>
      </c>
      <c r="D25" s="2">
        <v>1</v>
      </c>
      <c r="E25" s="2">
        <v>22</v>
      </c>
      <c r="F25" s="2">
        <v>130</v>
      </c>
      <c r="G25" s="2">
        <v>28</v>
      </c>
      <c r="H25" s="2">
        <v>0</v>
      </c>
      <c r="I25" s="2">
        <v>100</v>
      </c>
      <c r="J25" s="2" t="b">
        <v>0</v>
      </c>
      <c r="K25" s="2"/>
      <c r="L25" s="3" t="e">
        <f>INDEX(E25, MATCH(K25,A25, 0))</f>
        <v>#N/A</v>
      </c>
      <c r="M25" s="3" t="e">
        <f>INDEX(F25, MATCH(K25,A25, 0))</f>
        <v>#N/A</v>
      </c>
      <c r="N25" s="3" t="e">
        <f>INDEX(G25, MATCH(K25,A25, 0))</f>
        <v>#N/A</v>
      </c>
      <c r="O25" s="3" t="e">
        <f>IF(ISBLANK(L25),"Stable",IF(E25&gt;L25*1.25,"Rising",IF(E25&lt;L25*0.8,"Falling","Stable")))</f>
        <v>#N/A</v>
      </c>
      <c r="P25" s="3" t="e">
        <f>IF(ISBLANK(M25),"Stable",IF((F25+G25)&lt;(M25+N25)*0.85,"Falling",IF((F25+G25)&gt;(M25+N25)*1.15,"Rising","Stable")))</f>
        <v>#N/A</v>
      </c>
      <c r="Q25" s="3" t="e">
        <f>IF(AND(O25="Rising",P25="Falling"),TRUE(),FALSE())</f>
        <v>#N/A</v>
      </c>
      <c r="R25" s="3" t="b">
        <f>IF(H25&gt;=0.5,TRUE(),FALSE())</f>
        <v>0</v>
      </c>
      <c r="S25" s="3" t="b">
        <f>IF(H25&gt;=3.0,TRUE(),FALSE())</f>
        <v>0</v>
      </c>
      <c r="T25" s="3">
        <f>IF(OR(S25,J25),8,IF(R25,4,0))</f>
        <v>0</v>
      </c>
      <c r="U25" s="3" t="e">
        <f>IF(AND(P25="Falling",O25="Rising"),4,IF(OR(P25="Falling",O25="Rising"),2,0))</f>
        <v>#N/A</v>
      </c>
      <c r="V25" s="3" t="e">
        <f>T25+U25</f>
        <v>#N/A</v>
      </c>
      <c r="W25" s="3" t="e">
        <f>IF(OR(S25,J25),"BiopsyIndicated",IF(H25&gt;=1.0,"RenalFlareRisk",IF(R25,"EarlyNephritis",IF(AND(O25="Rising",P25="Falling"),"SerologicActive","PresymptomaticAutoimmunity"))))</f>
        <v>#N/A</v>
      </c>
      <c r="X25" s="3" t="e">
        <f>IF(W25="BiopsyIndicated",5,IF(W25="RenalFlareRisk",4,IF(W25="EarlyNephritis",3,IF(W25="SerologicActive",2,1))))</f>
        <v>#N/A</v>
      </c>
      <c r="Y25" s="3" t="str">
        <f>A25</f>
        <v>sero-ind-l-brandt-1</v>
      </c>
      <c r="Z25" s="3" t="str">
        <f>"/admin/serology/" &amp; A25</f>
        <v>/admin/serology/sero-ind-l-brandt-1</v>
      </c>
    </row>
    <row r="26">
      <c r="A26" s="2" t="s">
        <v>1958</v>
      </c>
      <c r="B26" s="2" t="s">
        <v>195</v>
      </c>
      <c r="C26" s="6">
        <v>45996</v>
      </c>
      <c r="D26" s="2">
        <v>2</v>
      </c>
      <c r="E26" s="2">
        <v>24</v>
      </c>
      <c r="F26" s="2">
        <v>128</v>
      </c>
      <c r="G26" s="2">
        <v>27</v>
      </c>
      <c r="H26" s="2">
        <v>0</v>
      </c>
      <c r="I26" s="2">
        <v>100</v>
      </c>
      <c r="J26" s="2" t="b">
        <v>0</v>
      </c>
      <c r="K26" s="2" t="s">
        <v>1957</v>
      </c>
      <c r="L26" s="3" t="e">
        <f>INDEX(E26, MATCH(K26,A26, 0))</f>
        <v>#N/A</v>
      </c>
      <c r="M26" s="3" t="e">
        <f>INDEX(F26, MATCH(K26,A26, 0))</f>
        <v>#N/A</v>
      </c>
      <c r="N26" s="3" t="e">
        <f>INDEX(G26, MATCH(K26,A26, 0))</f>
        <v>#N/A</v>
      </c>
      <c r="O26" s="3" t="e">
        <f>IF(ISBLANK(L26),"Stable",IF(E26&gt;L26*1.25,"Rising",IF(E26&lt;L26*0.8,"Falling","Stable")))</f>
        <v>#N/A</v>
      </c>
      <c r="P26" s="3" t="e">
        <f>IF(ISBLANK(M26),"Stable",IF((F26+G26)&lt;(M26+N26)*0.85,"Falling",IF((F26+G26)&gt;(M26+N26)*1.15,"Rising","Stable")))</f>
        <v>#N/A</v>
      </c>
      <c r="Q26" s="3" t="e">
        <f>IF(AND(O26="Rising",P26="Falling"),TRUE(),FALSE())</f>
        <v>#N/A</v>
      </c>
      <c r="R26" s="3" t="b">
        <f>IF(H26&gt;=0.5,TRUE(),FALSE())</f>
        <v>0</v>
      </c>
      <c r="S26" s="3" t="b">
        <f>IF(H26&gt;=3.0,TRUE(),FALSE())</f>
        <v>0</v>
      </c>
      <c r="T26" s="3">
        <f>IF(OR(S26,J26),8,IF(R26,4,0))</f>
        <v>0</v>
      </c>
      <c r="U26" s="3" t="e">
        <f>IF(AND(P26="Falling",O26="Rising"),4,IF(OR(P26="Falling",O26="Rising"),2,0))</f>
        <v>#N/A</v>
      </c>
      <c r="V26" s="3" t="e">
        <f>T26+U26</f>
        <v>#N/A</v>
      </c>
      <c r="W26" s="3" t="e">
        <f>IF(OR(S26,J26),"BiopsyIndicated",IF(H26&gt;=1.0,"RenalFlareRisk",IF(R26,"EarlyNephritis",IF(AND(O26="Rising",P26="Falling"),"SerologicActive","PresymptomaticAutoimmunity"))))</f>
        <v>#N/A</v>
      </c>
      <c r="X26" s="3" t="e">
        <f>IF(W26="BiopsyIndicated",5,IF(W26="RenalFlareRisk",4,IF(W26="EarlyNephritis",3,IF(W26="SerologicActive",2,1))))</f>
        <v>#N/A</v>
      </c>
      <c r="Y26" s="3" t="str">
        <f>A26</f>
        <v>sero-ind-l-brandt-2</v>
      </c>
      <c r="Z26" s="3" t="str">
        <f>"/admin/serology/" &amp; A26</f>
        <v>/admin/serology/sero-ind-l-brandt-2</v>
      </c>
    </row>
  </sheetData>
  <autoFilter ref="A1:Z1"/>
  <headerFooter/>
  <legacyDrawing r:id="rId1"/>
</worksheet>
</file>

<file path=xl/worksheets/sheet3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pane ySplit="1" topLeftCell="A2" state="frozen" activePane="bottomLeft"/>
      <selection pane="bottomLeft" activeCell="A1" sqref="A1"/>
    </sheetView>
  </sheetViews>
  <sheetFormatPr defaultRowHeight="15"/>
  <cols>
    <col min="1" max="1" width="17.659446716308594" customWidth="1"/>
    <col min="2" max="2" width="26.182037353515625" customWidth="1"/>
    <col min="3" max="3" width="19.545955657958984" customWidth="1"/>
    <col min="4" max="4" width="17.443378448486328" customWidth="1"/>
    <col min="5" max="5" width="38.600677490234375" customWidth="1"/>
    <col min="6" max="6" width="26.182037353515625" customWidth="1"/>
    <col min="7" max="7" width="35.71398162841797" customWidth="1"/>
  </cols>
  <sheetData>
    <row r="1">
      <c r="A1" s="1" t="s">
        <v>1959</v>
      </c>
      <c r="B1" s="1" t="s">
        <v>1960</v>
      </c>
      <c r="C1" s="1" t="s">
        <v>1961</v>
      </c>
      <c r="D1" s="1" t="s">
        <v>1962</v>
      </c>
      <c r="E1" s="1" t="s">
        <v>1963</v>
      </c>
      <c r="F1" s="1" t="s">
        <v>3</v>
      </c>
      <c r="G1" s="1" t="s">
        <v>4</v>
      </c>
    </row>
    <row r="2">
      <c r="A2" s="2" t="s">
        <v>1964</v>
      </c>
      <c r="B2" s="2" t="s">
        <v>1965</v>
      </c>
      <c r="C2" s="2" t="s">
        <v>1966</v>
      </c>
      <c r="D2" s="2">
        <v>1</v>
      </c>
      <c r="E2" s="2" t="s">
        <v>1967</v>
      </c>
      <c r="F2" s="3" t="str">
        <f>B2</f>
        <v>Mycophenolate (MMF)</v>
      </c>
      <c r="G2" s="3" t="str">
        <f>"/admin/therapy-options/" &amp; A2</f>
        <v>/admin/therapy-options/mmf</v>
      </c>
    </row>
    <row r="3">
      <c r="A3" s="2" t="s">
        <v>1968</v>
      </c>
      <c r="B3" s="2" t="s">
        <v>1969</v>
      </c>
      <c r="C3" s="2" t="s">
        <v>571</v>
      </c>
      <c r="D3" s="2">
        <v>2</v>
      </c>
      <c r="E3" s="2" t="s">
        <v>1970</v>
      </c>
      <c r="F3" s="3" t="str">
        <f>B3</f>
        <v>Belimumab (anti-BLyS)</v>
      </c>
      <c r="G3" s="3" t="str">
        <f>"/admin/therapy-options/" &amp; A3</f>
        <v>/admin/therapy-options/belimumab</v>
      </c>
    </row>
    <row r="4">
      <c r="A4" s="2" t="s">
        <v>1971</v>
      </c>
      <c r="B4" s="2" t="s">
        <v>498</v>
      </c>
      <c r="C4" s="2" t="s">
        <v>569</v>
      </c>
      <c r="D4" s="2">
        <v>2</v>
      </c>
      <c r="E4" s="2" t="s">
        <v>1972</v>
      </c>
      <c r="F4" s="3" t="str">
        <f>B4</f>
        <v>Anifrolumab (anti-IFNAR1)</v>
      </c>
      <c r="G4" s="3" t="str">
        <f>"/admin/therapy-options/" &amp; A4</f>
        <v>/admin/therapy-options/anifrolumab</v>
      </c>
    </row>
    <row r="5">
      <c r="A5" s="2" t="s">
        <v>1973</v>
      </c>
      <c r="B5" s="2" t="s">
        <v>509</v>
      </c>
      <c r="C5" s="2" t="s">
        <v>575</v>
      </c>
      <c r="D5" s="2">
        <v>2</v>
      </c>
      <c r="E5" s="2" t="s">
        <v>1974</v>
      </c>
      <c r="F5" s="3" t="str">
        <f>B5</f>
        <v>Secukinumab (anti-IL-17)</v>
      </c>
      <c r="G5" s="3" t="str">
        <f>"/admin/therapy-options/" &amp; A5</f>
        <v>/admin/therapy-options/secukinumab</v>
      </c>
    </row>
  </sheetData>
  <autoFilter ref="A1:G1"/>
  <headerFooter/>
  <legacyDrawing r:id="rId1"/>
</worksheet>
</file>

<file path=xl/worksheets/sheet4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25"/>
  <sheetViews>
    <sheetView workbookViewId="0"/>
  </sheetViews>
  <sheetFormatPr defaultRowHeight="15"/>
  <sheetData>
    <row r="1">
      <c r="A1" s="0" t="s">
        <v>1975</v>
      </c>
      <c r="Z1" s="0">
        <v>25</v>
      </c>
    </row>
    <row r="2">
      <c r="A2" s="0" t="s">
        <v>1976</v>
      </c>
    </row>
    <row r="3">
      <c r="A3" s="0" t="s">
        <v>1977</v>
      </c>
    </row>
    <row r="4">
      <c r="A4" s="0" t="s">
        <v>1978</v>
      </c>
    </row>
    <row r="5">
      <c r="A5" s="0" t="s">
        <v>1979</v>
      </c>
    </row>
    <row r="6">
      <c r="A6" s="0" t="s">
        <v>1980</v>
      </c>
    </row>
    <row r="7">
      <c r="A7" s="0" t="s">
        <v>1981</v>
      </c>
    </row>
    <row r="8">
      <c r="A8" s="0" t="s">
        <v>1982</v>
      </c>
    </row>
    <row r="9">
      <c r="A9" s="0" t="s">
        <v>1983</v>
      </c>
    </row>
    <row r="10">
      <c r="A10" s="0" t="s">
        <v>1984</v>
      </c>
    </row>
    <row r="11">
      <c r="A11" s="0" t="s">
        <v>1985</v>
      </c>
    </row>
    <row r="12">
      <c r="A12" s="0" t="s">
        <v>1986</v>
      </c>
    </row>
    <row r="13">
      <c r="A13" s="0" t="s">
        <v>1987</v>
      </c>
    </row>
    <row r="14">
      <c r="A14" s="0" t="s">
        <v>1988</v>
      </c>
    </row>
    <row r="15">
      <c r="A15" s="0" t="s">
        <v>1989</v>
      </c>
    </row>
    <row r="16">
      <c r="A16" s="0" t="s">
        <v>1990</v>
      </c>
    </row>
    <row r="17">
      <c r="A17" s="0" t="s">
        <v>1991</v>
      </c>
    </row>
    <row r="18">
      <c r="A18" s="0" t="s">
        <v>1992</v>
      </c>
    </row>
    <row r="19">
      <c r="A19" s="0" t="s">
        <v>1993</v>
      </c>
    </row>
    <row r="20">
      <c r="A20" s="0" t="s">
        <v>1994</v>
      </c>
    </row>
    <row r="21">
      <c r="A21" s="0" t="s">
        <v>1995</v>
      </c>
    </row>
    <row r="22">
      <c r="A22" s="0" t="s">
        <v>1996</v>
      </c>
    </row>
    <row r="23">
      <c r="A23" s="0" t="s">
        <v>1997</v>
      </c>
    </row>
    <row r="24">
      <c r="A24" s="0" t="s">
        <v>1998</v>
      </c>
    </row>
    <row r="25">
      <c r="A25" s="0" t="s">
        <v>1999</v>
      </c>
    </row>
  </sheetData>
  <headerFooter/>
</worksheet>
</file>

<file path=EPPlusLicense.txt>This workbook was created with the EPPlus library, licensed to EffortlessAPI Tool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EffortlessAPI Tool under The Polyform Noncommercial License: See https://polyformproject.org/licenses/noncommercial/1.0.0</dc:description>
  <dc:creator>EffortlessAPI Tool</dc:creator>
</cp:coreProperties>
</file>

<file path=docProps/custom.xml><?xml version="1.0" encoding="utf-8"?>
<Properties xmlns:vt="http://schemas.openxmlformats.org/officeDocument/2006/docPropsVTypes" xmlns="http://schemas.openxmlformats.org/officeDocument/2006/custom-properties"/>
</file>